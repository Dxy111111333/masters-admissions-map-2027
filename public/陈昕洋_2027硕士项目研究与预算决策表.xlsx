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桌面\中介\陈昕洋\outputs\019f7340-ea99-7330-b27c-46fbbbfe4aaf\"/>
    </mc:Choice>
  </mc:AlternateContent>
  <xr:revisionPtr revIDLastSave="0" documentId="13_ncr:1_{FB7502AB-7C9F-4A2C-BF9C-C6BAC1EA1535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香港" sheetId="1" r:id="rId1"/>
    <sheet name="澳门" sheetId="2" r:id="rId2"/>
    <sheet name="英国" sheetId="3" r:id="rId3"/>
    <sheet name="新西兰" sheetId="4" r:id="rId4"/>
  </sheets>
  <calcPr calcId="191029"/>
</workbook>
</file>

<file path=xl/calcChain.xml><?xml version="1.0" encoding="utf-8"?>
<calcChain xmlns="http://schemas.openxmlformats.org/spreadsheetml/2006/main">
  <c r="BN23" i="4" l="1"/>
  <c r="AU23" i="4"/>
  <c r="AS23" i="4"/>
  <c r="BB23" i="4" s="1"/>
  <c r="AP23" i="4"/>
  <c r="AN23" i="4"/>
  <c r="AL23" i="4"/>
  <c r="AJ23" i="4"/>
  <c r="AH23" i="4"/>
  <c r="AF23" i="4"/>
  <c r="AD23" i="4"/>
  <c r="AB23" i="4"/>
  <c r="AR23" i="4" s="1"/>
  <c r="BN22" i="4"/>
  <c r="AU22" i="4"/>
  <c r="AS22" i="4"/>
  <c r="BB22" i="4" s="1"/>
  <c r="AP22" i="4"/>
  <c r="AN22" i="4"/>
  <c r="AL22" i="4"/>
  <c r="AJ22" i="4"/>
  <c r="AH22" i="4"/>
  <c r="AF22" i="4"/>
  <c r="AD22" i="4"/>
  <c r="AB22" i="4"/>
  <c r="AR22" i="4" s="1"/>
  <c r="BN21" i="4"/>
  <c r="AU21" i="4"/>
  <c r="AS21" i="4"/>
  <c r="BB21" i="4" s="1"/>
  <c r="AP21" i="4"/>
  <c r="AN21" i="4"/>
  <c r="AL21" i="4"/>
  <c r="AJ21" i="4"/>
  <c r="AH21" i="4"/>
  <c r="AF21" i="4"/>
  <c r="AD21" i="4"/>
  <c r="AB21" i="4"/>
  <c r="AR21" i="4" s="1"/>
  <c r="BN20" i="4"/>
  <c r="AU20" i="4"/>
  <c r="AS20" i="4"/>
  <c r="BB20" i="4" s="1"/>
  <c r="AP20" i="4"/>
  <c r="AN20" i="4"/>
  <c r="AL20" i="4"/>
  <c r="AJ20" i="4"/>
  <c r="AH20" i="4"/>
  <c r="AF20" i="4"/>
  <c r="AD20" i="4"/>
  <c r="AB20" i="4"/>
  <c r="AR20" i="4" s="1"/>
  <c r="BN19" i="4"/>
  <c r="AU19" i="4"/>
  <c r="AS19" i="4"/>
  <c r="BB19" i="4" s="1"/>
  <c r="AP19" i="4"/>
  <c r="AN19" i="4"/>
  <c r="AL19" i="4"/>
  <c r="AJ19" i="4"/>
  <c r="AH19" i="4"/>
  <c r="AF19" i="4"/>
  <c r="AD19" i="4"/>
  <c r="AB19" i="4"/>
  <c r="AR19" i="4" s="1"/>
  <c r="BN18" i="4"/>
  <c r="AU18" i="4"/>
  <c r="AS18" i="4"/>
  <c r="BB18" i="4" s="1"/>
  <c r="AP18" i="4"/>
  <c r="AN18" i="4"/>
  <c r="AL18" i="4"/>
  <c r="AJ18" i="4"/>
  <c r="AR18" i="4" s="1"/>
  <c r="AH18" i="4"/>
  <c r="AF18" i="4"/>
  <c r="AD18" i="4"/>
  <c r="AB18" i="4"/>
  <c r="BN17" i="4"/>
  <c r="A11" i="4" s="1"/>
  <c r="AU17" i="4"/>
  <c r="AS17" i="4"/>
  <c r="BB17" i="4" s="1"/>
  <c r="AP17" i="4"/>
  <c r="AN17" i="4"/>
  <c r="AL17" i="4"/>
  <c r="AJ17" i="4"/>
  <c r="AH17" i="4"/>
  <c r="AF17" i="4"/>
  <c r="AD17" i="4"/>
  <c r="AB17" i="4"/>
  <c r="AR17" i="4" s="1"/>
  <c r="E14" i="4"/>
  <c r="C14" i="4"/>
  <c r="A14" i="4"/>
  <c r="BY12" i="4"/>
  <c r="BY11" i="4"/>
  <c r="K11" i="4"/>
  <c r="C11" i="4"/>
  <c r="BY10" i="4"/>
  <c r="BY9" i="4"/>
  <c r="BY8" i="4"/>
  <c r="BR8" i="4"/>
  <c r="BP8" i="4"/>
  <c r="BY7" i="4"/>
  <c r="BR7" i="4"/>
  <c r="BP7" i="4"/>
  <c r="BY6" i="4"/>
  <c r="BR6" i="4"/>
  <c r="BP6" i="4"/>
  <c r="CB5" i="4"/>
  <c r="BY5" i="4"/>
  <c r="BR5" i="4"/>
  <c r="BP5" i="4"/>
  <c r="CB4" i="4"/>
  <c r="BY4" i="4"/>
  <c r="BR4" i="4"/>
  <c r="BP4" i="4"/>
  <c r="CB3" i="4"/>
  <c r="BY3" i="4"/>
  <c r="BR3" i="4"/>
  <c r="BP3" i="4"/>
  <c r="CB2" i="4"/>
  <c r="BY2" i="4"/>
  <c r="BR2" i="4"/>
  <c r="BP2" i="4"/>
  <c r="BN24" i="3"/>
  <c r="AU24" i="3"/>
  <c r="AS24" i="3"/>
  <c r="BB24" i="3" s="1"/>
  <c r="AP24" i="3"/>
  <c r="AN24" i="3"/>
  <c r="AL24" i="3"/>
  <c r="AJ24" i="3"/>
  <c r="AH24" i="3"/>
  <c r="AF24" i="3"/>
  <c r="AD24" i="3"/>
  <c r="AB24" i="3"/>
  <c r="AR24" i="3" s="1"/>
  <c r="BN23" i="3"/>
  <c r="BB23" i="3"/>
  <c r="AU23" i="3"/>
  <c r="AS23" i="3"/>
  <c r="AP23" i="3"/>
  <c r="AN23" i="3"/>
  <c r="AL23" i="3"/>
  <c r="AJ23" i="3"/>
  <c r="AH23" i="3"/>
  <c r="AF23" i="3"/>
  <c r="AR23" i="3" s="1"/>
  <c r="AD23" i="3"/>
  <c r="AB23" i="3"/>
  <c r="BN22" i="3"/>
  <c r="AU22" i="3"/>
  <c r="AS22" i="3"/>
  <c r="BB22" i="3" s="1"/>
  <c r="AP22" i="3"/>
  <c r="AN22" i="3"/>
  <c r="AL22" i="3"/>
  <c r="AJ22" i="3"/>
  <c r="AH22" i="3"/>
  <c r="AF22" i="3"/>
  <c r="AR22" i="3" s="1"/>
  <c r="AD22" i="3"/>
  <c r="AB22" i="3"/>
  <c r="BN21" i="3"/>
  <c r="BB21" i="3"/>
  <c r="AU21" i="3"/>
  <c r="AS21" i="3"/>
  <c r="AP21" i="3"/>
  <c r="AN21" i="3"/>
  <c r="AL21" i="3"/>
  <c r="AJ21" i="3"/>
  <c r="AH21" i="3"/>
  <c r="AF21" i="3"/>
  <c r="AD21" i="3"/>
  <c r="AB21" i="3"/>
  <c r="AR21" i="3" s="1"/>
  <c r="BN20" i="3"/>
  <c r="BB20" i="3"/>
  <c r="AU20" i="3"/>
  <c r="AS20" i="3"/>
  <c r="AP20" i="3"/>
  <c r="AN20" i="3"/>
  <c r="AL20" i="3"/>
  <c r="AJ20" i="3"/>
  <c r="AH20" i="3"/>
  <c r="AF20" i="3"/>
  <c r="AD20" i="3"/>
  <c r="AB20" i="3"/>
  <c r="AR20" i="3" s="1"/>
  <c r="BN19" i="3"/>
  <c r="AU19" i="3"/>
  <c r="AS19" i="3"/>
  <c r="BB19" i="3" s="1"/>
  <c r="AP19" i="3"/>
  <c r="AN19" i="3"/>
  <c r="AR19" i="3" s="1"/>
  <c r="AL19" i="3"/>
  <c r="AJ19" i="3"/>
  <c r="AH19" i="3"/>
  <c r="AF19" i="3"/>
  <c r="AD19" i="3"/>
  <c r="AB19" i="3"/>
  <c r="BN18" i="3"/>
  <c r="AU18" i="3"/>
  <c r="AS18" i="3"/>
  <c r="BB18" i="3" s="1"/>
  <c r="AP18" i="3"/>
  <c r="AR18" i="3" s="1"/>
  <c r="AN18" i="3"/>
  <c r="AL18" i="3"/>
  <c r="AJ18" i="3"/>
  <c r="AH18" i="3"/>
  <c r="AF18" i="3"/>
  <c r="AD18" i="3"/>
  <c r="AB18" i="3"/>
  <c r="BN17" i="3"/>
  <c r="A11" i="3" s="1"/>
  <c r="AU17" i="3"/>
  <c r="AS17" i="3"/>
  <c r="BB17" i="3" s="1"/>
  <c r="AR17" i="3"/>
  <c r="BD17" i="3" s="1"/>
  <c r="AP17" i="3"/>
  <c r="AN17" i="3"/>
  <c r="AL17" i="3"/>
  <c r="AJ17" i="3"/>
  <c r="AH17" i="3"/>
  <c r="AF17" i="3"/>
  <c r="AD17" i="3"/>
  <c r="AB17" i="3"/>
  <c r="E14" i="3"/>
  <c r="C14" i="3"/>
  <c r="A14" i="3"/>
  <c r="BY12" i="3"/>
  <c r="BY11" i="3"/>
  <c r="K11" i="3"/>
  <c r="C11" i="3"/>
  <c r="BY10" i="3"/>
  <c r="BY9" i="3"/>
  <c r="BR9" i="3"/>
  <c r="BP9" i="3"/>
  <c r="BY8" i="3"/>
  <c r="BR8" i="3"/>
  <c r="BP8" i="3"/>
  <c r="BY7" i="3"/>
  <c r="BR7" i="3"/>
  <c r="BP7" i="3"/>
  <c r="BY6" i="3"/>
  <c r="BR6" i="3"/>
  <c r="BP6" i="3"/>
  <c r="CB5" i="3"/>
  <c r="BY5" i="3"/>
  <c r="BR5" i="3"/>
  <c r="BP5" i="3"/>
  <c r="CB4" i="3"/>
  <c r="BY4" i="3"/>
  <c r="BR4" i="3"/>
  <c r="BP4" i="3"/>
  <c r="CB3" i="3"/>
  <c r="BY3" i="3"/>
  <c r="BR3" i="3"/>
  <c r="BP3" i="3"/>
  <c r="CB2" i="3"/>
  <c r="BY2" i="3"/>
  <c r="BR2" i="3"/>
  <c r="BP2" i="3"/>
  <c r="BN17" i="2"/>
  <c r="A11" i="2" s="1"/>
  <c r="BD17" i="2"/>
  <c r="BB17" i="2"/>
  <c r="AU17" i="2"/>
  <c r="AS17" i="2"/>
  <c r="AP17" i="2"/>
  <c r="AN17" i="2"/>
  <c r="AL17" i="2"/>
  <c r="AJ17" i="2"/>
  <c r="AH17" i="2"/>
  <c r="AF17" i="2"/>
  <c r="AD17" i="2"/>
  <c r="AB17" i="2"/>
  <c r="AR17" i="2" s="1"/>
  <c r="K14" i="2"/>
  <c r="I14" i="2"/>
  <c r="G14" i="2"/>
  <c r="E14" i="2"/>
  <c r="C14" i="2"/>
  <c r="A14" i="2"/>
  <c r="BY12" i="2"/>
  <c r="BY11" i="2"/>
  <c r="K11" i="2"/>
  <c r="I11" i="2"/>
  <c r="G11" i="2"/>
  <c r="E11" i="2"/>
  <c r="C11" i="2"/>
  <c r="BY10" i="2"/>
  <c r="BY9" i="2"/>
  <c r="BY8" i="2"/>
  <c r="BY7" i="2"/>
  <c r="BY6" i="2"/>
  <c r="CB5" i="2"/>
  <c r="BY5" i="2"/>
  <c r="CB4" i="2"/>
  <c r="BY4" i="2"/>
  <c r="BV4" i="2"/>
  <c r="CB3" i="2"/>
  <c r="BY3" i="2"/>
  <c r="BV3" i="2"/>
  <c r="CB2" i="2"/>
  <c r="BY2" i="2"/>
  <c r="BV2" i="2"/>
  <c r="BR2" i="2"/>
  <c r="BQ2" i="2"/>
  <c r="BP2" i="2"/>
  <c r="BN22" i="1"/>
  <c r="AU22" i="1"/>
  <c r="AS22" i="1"/>
  <c r="BB22" i="1" s="1"/>
  <c r="AP22" i="1"/>
  <c r="AN22" i="1"/>
  <c r="AL22" i="1"/>
  <c r="AJ22" i="1"/>
  <c r="AH22" i="1"/>
  <c r="AF22" i="1"/>
  <c r="AD22" i="1"/>
  <c r="AR22" i="1" s="1"/>
  <c r="AB22" i="1"/>
  <c r="BN21" i="1"/>
  <c r="BB21" i="1"/>
  <c r="AU21" i="1"/>
  <c r="AS21" i="1"/>
  <c r="AP21" i="1"/>
  <c r="AN21" i="1"/>
  <c r="AL21" i="1"/>
  <c r="AJ21" i="1"/>
  <c r="AH21" i="1"/>
  <c r="AF21" i="1"/>
  <c r="AD21" i="1"/>
  <c r="AB21" i="1"/>
  <c r="AR21" i="1" s="1"/>
  <c r="BN20" i="1"/>
  <c r="AU20" i="1"/>
  <c r="AS20" i="1"/>
  <c r="BB20" i="1" s="1"/>
  <c r="AP20" i="1"/>
  <c r="AN20" i="1"/>
  <c r="AL20" i="1"/>
  <c r="AJ20" i="1"/>
  <c r="AH20" i="1"/>
  <c r="AF20" i="1"/>
  <c r="AD20" i="1"/>
  <c r="AR20" i="1" s="1"/>
  <c r="AB20" i="1"/>
  <c r="BN19" i="1"/>
  <c r="BB19" i="1"/>
  <c r="AU19" i="1"/>
  <c r="AS19" i="1"/>
  <c r="AP19" i="1"/>
  <c r="AN19" i="1"/>
  <c r="AL19" i="1"/>
  <c r="AJ19" i="1"/>
  <c r="AH19" i="1"/>
  <c r="AF19" i="1"/>
  <c r="AD19" i="1"/>
  <c r="AB19" i="1"/>
  <c r="AR19" i="1" s="1"/>
  <c r="BN18" i="1"/>
  <c r="A11" i="1" s="1"/>
  <c r="BB18" i="1"/>
  <c r="AU18" i="1"/>
  <c r="AS18" i="1"/>
  <c r="AP18" i="1"/>
  <c r="AN18" i="1"/>
  <c r="AL18" i="1"/>
  <c r="AJ18" i="1"/>
  <c r="AH18" i="1"/>
  <c r="AF18" i="1"/>
  <c r="AD18" i="1"/>
  <c r="AB18" i="1"/>
  <c r="AR18" i="1" s="1"/>
  <c r="BN17" i="1"/>
  <c r="AU17" i="1"/>
  <c r="AS17" i="1"/>
  <c r="BB17" i="1" s="1"/>
  <c r="AP17" i="1"/>
  <c r="AN17" i="1"/>
  <c r="AR17" i="1" s="1"/>
  <c r="AL17" i="1"/>
  <c r="AJ17" i="1"/>
  <c r="AH17" i="1"/>
  <c r="AF17" i="1"/>
  <c r="AD17" i="1"/>
  <c r="AB17" i="1"/>
  <c r="E14" i="1"/>
  <c r="C14" i="1"/>
  <c r="A14" i="1"/>
  <c r="BY12" i="1"/>
  <c r="BY11" i="1"/>
  <c r="K11" i="1"/>
  <c r="C11" i="1"/>
  <c r="BY10" i="1"/>
  <c r="BY9" i="1"/>
  <c r="BY8" i="1"/>
  <c r="BY7" i="1"/>
  <c r="BR7" i="1"/>
  <c r="BP7" i="1"/>
  <c r="BY6" i="1"/>
  <c r="BR6" i="1"/>
  <c r="BP6" i="1"/>
  <c r="CB5" i="1"/>
  <c r="BY5" i="1"/>
  <c r="BR5" i="1"/>
  <c r="BP5" i="1"/>
  <c r="CB4" i="1"/>
  <c r="BY4" i="1"/>
  <c r="BR4" i="1"/>
  <c r="BP4" i="1"/>
  <c r="CB3" i="1"/>
  <c r="BY3" i="1"/>
  <c r="BR3" i="1"/>
  <c r="BP3" i="1"/>
  <c r="CB2" i="1"/>
  <c r="BY2" i="1"/>
  <c r="BR2" i="1"/>
  <c r="BP2" i="1"/>
  <c r="BA21" i="3" l="1"/>
  <c r="BC21" i="3" s="1"/>
  <c r="AT21" i="3"/>
  <c r="BQ6" i="3" s="1"/>
  <c r="BD21" i="3"/>
  <c r="BA19" i="1"/>
  <c r="BC19" i="1" s="1"/>
  <c r="AT19" i="1"/>
  <c r="BQ4" i="1" s="1"/>
  <c r="BD19" i="1"/>
  <c r="AT20" i="1"/>
  <c r="BQ5" i="1" s="1"/>
  <c r="BD20" i="1"/>
  <c r="BA20" i="1"/>
  <c r="BC20" i="1" s="1"/>
  <c r="BD24" i="3"/>
  <c r="BA24" i="3"/>
  <c r="BC24" i="3" s="1"/>
  <c r="AT24" i="3"/>
  <c r="BQ9" i="3" s="1"/>
  <c r="BD18" i="3"/>
  <c r="BV2" i="3" s="1"/>
  <c r="AT18" i="3"/>
  <c r="BQ3" i="3" s="1"/>
  <c r="BA18" i="3"/>
  <c r="BC18" i="3" s="1"/>
  <c r="BD20" i="4"/>
  <c r="BA20" i="4"/>
  <c r="BC20" i="4" s="1"/>
  <c r="AT20" i="4"/>
  <c r="BQ5" i="4" s="1"/>
  <c r="BD19" i="4"/>
  <c r="BA19" i="4"/>
  <c r="BC19" i="4" s="1"/>
  <c r="AT19" i="4"/>
  <c r="BQ4" i="4" s="1"/>
  <c r="BA19" i="3"/>
  <c r="BC19" i="3" s="1"/>
  <c r="AT19" i="3"/>
  <c r="BQ4" i="3" s="1"/>
  <c r="BD19" i="3"/>
  <c r="BD22" i="4"/>
  <c r="BA22" i="4"/>
  <c r="BC22" i="4" s="1"/>
  <c r="AT22" i="4"/>
  <c r="BQ7" i="4" s="1"/>
  <c r="BD23" i="4"/>
  <c r="BA23" i="4"/>
  <c r="BC23" i="4" s="1"/>
  <c r="AT23" i="4"/>
  <c r="BQ8" i="4" s="1"/>
  <c r="BA20" i="3"/>
  <c r="BC20" i="3" s="1"/>
  <c r="AT20" i="3"/>
  <c r="BQ5" i="3" s="1"/>
  <c r="BD20" i="3"/>
  <c r="BD22" i="1"/>
  <c r="BA22" i="1"/>
  <c r="BC22" i="1" s="1"/>
  <c r="AT22" i="1"/>
  <c r="BQ7" i="1" s="1"/>
  <c r="AT22" i="3"/>
  <c r="BQ7" i="3" s="1"/>
  <c r="BD22" i="3"/>
  <c r="BA22" i="3"/>
  <c r="BC22" i="3" s="1"/>
  <c r="BA18" i="1"/>
  <c r="BC18" i="1" s="1"/>
  <c r="AT18" i="1"/>
  <c r="BQ3" i="1" s="1"/>
  <c r="BD18" i="1"/>
  <c r="BD17" i="4"/>
  <c r="K14" i="4"/>
  <c r="I14" i="4"/>
  <c r="G14" i="4"/>
  <c r="BA17" i="4"/>
  <c r="BC17" i="4" s="1"/>
  <c r="AT17" i="4"/>
  <c r="BQ2" i="4" s="1"/>
  <c r="AT23" i="3"/>
  <c r="BQ8" i="3" s="1"/>
  <c r="BD23" i="3"/>
  <c r="BA23" i="3"/>
  <c r="BC23" i="3" s="1"/>
  <c r="AT21" i="1"/>
  <c r="BQ6" i="1" s="1"/>
  <c r="BD21" i="1"/>
  <c r="BA21" i="1"/>
  <c r="BC21" i="1" s="1"/>
  <c r="BD18" i="4"/>
  <c r="BA18" i="4"/>
  <c r="BC18" i="4" s="1"/>
  <c r="AT18" i="4"/>
  <c r="BQ3" i="4" s="1"/>
  <c r="AT17" i="2"/>
  <c r="BA17" i="2"/>
  <c r="BC17" i="2" s="1"/>
  <c r="I14" i="1"/>
  <c r="G14" i="1"/>
  <c r="BA17" i="1"/>
  <c r="BC17" i="1" s="1"/>
  <c r="AT17" i="1"/>
  <c r="BQ2" i="1" s="1"/>
  <c r="BD17" i="1"/>
  <c r="K14" i="1"/>
  <c r="E11" i="3"/>
  <c r="BV4" i="3"/>
  <c r="BV3" i="3"/>
  <c r="G11" i="3"/>
  <c r="BD21" i="4"/>
  <c r="BA21" i="4"/>
  <c r="BC21" i="4" s="1"/>
  <c r="AT21" i="4"/>
  <c r="BQ6" i="4" s="1"/>
  <c r="AT17" i="3"/>
  <c r="BQ2" i="3" s="1"/>
  <c r="G14" i="3"/>
  <c r="I14" i="3"/>
  <c r="BA17" i="3"/>
  <c r="BC17" i="3" s="1"/>
  <c r="K14" i="3"/>
  <c r="G11" i="4" l="1"/>
  <c r="E11" i="4"/>
  <c r="BV2" i="4"/>
  <c r="BV4" i="4"/>
  <c r="I11" i="4"/>
  <c r="BV3" i="4"/>
  <c r="I11" i="3"/>
  <c r="I11" i="1"/>
  <c r="BV3" i="1"/>
  <c r="G11" i="1"/>
  <c r="E11" i="1"/>
  <c r="BV4" i="1"/>
  <c r="BV2" i="1"/>
</calcChain>
</file>

<file path=xl/sharedStrings.xml><?xml version="1.0" encoding="utf-8"?>
<sst xmlns="http://schemas.openxmlformats.org/spreadsheetml/2006/main" count="1320" uniqueCount="352">
  <si>
    <t>香港｜2027硕士项目研究、预算与奖学金决策表</t>
  </si>
  <si>
    <t>推荐项目</t>
  </si>
  <si>
    <t>总成本（万元）</t>
  </si>
  <si>
    <t>预算线（万元）</t>
  </si>
  <si>
    <t>预算状态</t>
  </si>
  <si>
    <t>数量</t>
  </si>
  <si>
    <t>专业类别</t>
  </si>
  <si>
    <t>奖学金状态</t>
  </si>
  <si>
    <t>数据更新</t>
  </si>
  <si>
    <t>2026-07-18</t>
  </si>
  <si>
    <t>申请年度</t>
  </si>
  <si>
    <t>汇率</t>
  </si>
  <si>
    <t>原币</t>
  </si>
  <si>
    <t>HKD</t>
  </si>
  <si>
    <t>汇率口径</t>
  </si>
  <si>
    <t>1原币=CNY</t>
  </si>
  <si>
    <t>预算内</t>
  </si>
  <si>
    <t>经济学</t>
  </si>
  <si>
    <t>自动随录取审核</t>
  </si>
  <si>
    <t>预算上限</t>
  </si>
  <si>
    <t>成本口径</t>
  </si>
  <si>
    <t>学费 + 住宿 + 饮食 + 通勤 + 日常 + 签证/保险 + 教材及其他强制费用 + 往返交通；人民币列均由H2汇率公式换算</t>
  </si>
  <si>
    <t>临界预算</t>
  </si>
  <si>
    <t>应用经济学</t>
  </si>
  <si>
    <t>需要单独申请</t>
  </si>
  <si>
    <t>超预算</t>
  </si>
  <si>
    <t>金融学</t>
  </si>
  <si>
    <t>没有明确奖学金</t>
  </si>
  <si>
    <t>申请人画像与筛选逻辑</t>
  </si>
  <si>
    <t>金融与经济</t>
  </si>
  <si>
    <t>奖学金信息待确认</t>
  </si>
  <si>
    <t>陈昕洋｜黑龙江大学经济学 + 法学双学位｜经济学专业 7/101（前10%）｜连续三年一等奖学金</t>
  </si>
  <si>
    <t>商业分析</t>
  </si>
  <si>
    <t>CET-6 500+；金融/资管、法律与行政实习；有论文发表与创新项目经历，适合经济、金融、商科及法经交叉方向。</t>
  </si>
  <si>
    <t>管理学</t>
  </si>
  <si>
    <t>筛选：2027全日制授课型；40万元预算；优先1年，1.5年作边界；2年以上不进入主推荐。费用均为规划估算，申请前须以offer与当年账单复核。</t>
  </si>
  <si>
    <t>公共政策</t>
  </si>
  <si>
    <t>国际政治经济</t>
  </si>
  <si>
    <t>院校数</t>
  </si>
  <si>
    <t>主推荐专业数</t>
  </si>
  <si>
    <t>有奖学金</t>
  </si>
  <si>
    <t>商法</t>
  </si>
  <si>
    <t>知识产权法</t>
  </si>
  <si>
    <t>其他</t>
  </si>
  <si>
    <t>自动审核奖学金</t>
  </si>
  <si>
    <t>一年制</t>
  </si>
  <si>
    <t>1.5年边界</t>
  </si>
  <si>
    <t>平均总成本（万元）</t>
  </si>
  <si>
    <t>最低总成本（万元）</t>
  </si>
  <si>
    <t>最高总成本（万元）</t>
  </si>
  <si>
    <t>国家/地区</t>
  </si>
  <si>
    <t>大学</t>
  </si>
  <si>
    <t>大学简称</t>
  </si>
  <si>
    <t>城市</t>
  </si>
  <si>
    <t>专业名称</t>
  </si>
  <si>
    <t>专业简称</t>
  </si>
  <si>
    <t>学位类型</t>
  </si>
  <si>
    <t>学制</t>
  </si>
  <si>
    <t>学制月数</t>
  </si>
  <si>
    <t>学习模式</t>
  </si>
  <si>
    <t>总学分</t>
  </si>
  <si>
    <t>必修/选修</t>
  </si>
  <si>
    <t>论文/Capstone</t>
  </si>
  <si>
    <t>最低毕业成绩/最长修读</t>
  </si>
  <si>
    <t>申请年度/入学时间</t>
  </si>
  <si>
    <t>申请截止</t>
  </si>
  <si>
    <t>本科要求</t>
  </si>
  <si>
    <t>雅思要求</t>
  </si>
  <si>
    <t>接受六级</t>
  </si>
  <si>
    <t>GMAT/GRE</t>
  </si>
  <si>
    <t>接受经济学本科</t>
  </si>
  <si>
    <t>接受非法学背景</t>
  </si>
  <si>
    <t>申请定位</t>
  </si>
  <si>
    <t>综合推荐分</t>
  </si>
  <si>
    <t>建议申请优先级</t>
  </si>
  <si>
    <t>是否主推荐</t>
  </si>
  <si>
    <t>学费RMB</t>
  </si>
  <si>
    <t>学费原币</t>
  </si>
  <si>
    <t>住宿RMB</t>
  </si>
  <si>
    <t>住宿原币</t>
  </si>
  <si>
    <t>饮食RMB</t>
  </si>
  <si>
    <t>饮食原币</t>
  </si>
  <si>
    <t>通勤RMB</t>
  </si>
  <si>
    <t>通勤原币</t>
  </si>
  <si>
    <t>日常RMB</t>
  </si>
  <si>
    <t>日常原币</t>
  </si>
  <si>
    <t>签证保险RMB</t>
  </si>
  <si>
    <t>签证保险原币</t>
  </si>
  <si>
    <t>教材其他强制RMB</t>
  </si>
  <si>
    <t>教材其他强制原币</t>
  </si>
  <si>
    <t>往返交通RMB</t>
  </si>
  <si>
    <t>往返交通原币</t>
  </si>
  <si>
    <t>未奖总成本RMB</t>
  </si>
  <si>
    <t>未奖总成本原币</t>
  </si>
  <si>
    <t>总成本万元</t>
  </si>
  <si>
    <t>奖学金RMB</t>
  </si>
  <si>
    <t>奖学金原币</t>
  </si>
  <si>
    <t>是否有奖学金</t>
  </si>
  <si>
    <t>是否自动审核奖学金</t>
  </si>
  <si>
    <t>奖学金竞争度</t>
  </si>
  <si>
    <t>奖后总成本RMB</t>
  </si>
  <si>
    <t>奖后总成本原币</t>
  </si>
  <si>
    <t>与40万元差额RMB</t>
  </si>
  <si>
    <t>数据日期</t>
  </si>
  <si>
    <t>项目官网</t>
  </si>
  <si>
    <t>学费来源</t>
  </si>
  <si>
    <t>申请要求来源</t>
  </si>
  <si>
    <t>奖学金来源</t>
  </si>
  <si>
    <t>生活费来源</t>
  </si>
  <si>
    <t>备注/冲突</t>
  </si>
  <si>
    <t>人工复核</t>
  </si>
  <si>
    <t>去重键</t>
  </si>
  <si>
    <t>大学首次计数</t>
  </si>
  <si>
    <t>香港</t>
  </si>
  <si>
    <t>香港浸会大学</t>
  </si>
  <si>
    <t>HKBU</t>
  </si>
  <si>
    <t>Master of Science in Applied Economics</t>
  </si>
  <si>
    <t>MSc Applied Economics</t>
  </si>
  <si>
    <t>MSc</t>
  </si>
  <si>
    <t>1年</t>
  </si>
  <si>
    <t>全日制</t>
  </si>
  <si>
    <t>30学分</t>
  </si>
  <si>
    <t>核心课+选修课</t>
  </si>
  <si>
    <t>授课型；研究项目安排以当年课表为准</t>
  </si>
  <si>
    <t>标准1年完成</t>
  </si>
  <si>
    <t>2027年9月</t>
  </si>
  <si>
    <t>2027待公布；2026非本地生截止6月4日</t>
  </si>
  <si>
    <t>认可学士学位；无须经济学主修，但需微观、宏观、数学或统计基础</t>
  </si>
  <si>
    <t>IELTS 6.5 / TOEFL 79</t>
  </si>
  <si>
    <t>否</t>
  </si>
  <si>
    <t>不要求</t>
  </si>
  <si>
    <t>是</t>
  </si>
  <si>
    <t>不适用</t>
  </si>
  <si>
    <t>相对稳妥</t>
  </si>
  <si>
    <t>高</t>
  </si>
  <si>
    <t>待确认</t>
  </si>
  <si>
    <t>未找到可量化官网奖项</t>
  </si>
  <si>
    <t>2026学费；申请人经济学背景、前10%与金融实习匹配度高。</t>
  </si>
  <si>
    <t>需在申请前复核2027学费与截止日期</t>
  </si>
  <si>
    <t>香港浸会大学|Master of Science in Applied Economics|1年</t>
  </si>
  <si>
    <t>香港城市大学</t>
  </si>
  <si>
    <t>CityUHK</t>
  </si>
  <si>
    <t>课程为主</t>
  </si>
  <si>
    <t>标准1年；最长2.5年</t>
  </si>
  <si>
    <t>2027待公布；2026滚动录取至4月30日</t>
  </si>
  <si>
    <t>认可学士学位；定量训练有利</t>
  </si>
  <si>
    <t>IELTS 6.0 / TOEFL 79 / CET-6 490</t>
  </si>
  <si>
    <t>是（CET-6≥490）</t>
  </si>
  <si>
    <t>2026按HK$11,300/学分×30估算；申请人CET-6 500+达到官网列示门槛；学费页浏览时403，需人工复核2027。</t>
  </si>
  <si>
    <t>香港城市大学|Master of Science in Applied Economics|1年</t>
  </si>
  <si>
    <t>香港中文大学</t>
  </si>
  <si>
    <t>CUHK</t>
  </si>
  <si>
    <t>Master of Science in Economics</t>
  </si>
  <si>
    <t>MSc Economics</t>
  </si>
  <si>
    <t>27学分</t>
  </si>
  <si>
    <t>标准1年</t>
  </si>
  <si>
    <t>2027待公布；参考2026轮次：10月13日/12月15日/2月2日</t>
  </si>
  <si>
    <t>二等荣誉或平均B；数学/统计训练优先</t>
  </si>
  <si>
    <t>IELTS 6.5 / TOEFL 79；GMAT Verbal 21亦可</t>
  </si>
  <si>
    <t>不要求（GMAT Verbal可作英语证明）</t>
  </si>
  <si>
    <t>匹配</t>
  </si>
  <si>
    <t>中</t>
  </si>
  <si>
    <t>2026学费；2027轮次与金额待更新。</t>
  </si>
  <si>
    <t>香港中文大学|Master of Science in Economics|1年</t>
  </si>
  <si>
    <t>香港科技大学</t>
  </si>
  <si>
    <t>HKUST</t>
  </si>
  <si>
    <t>2027优先轮：2026年7月2日—8月15日；其后轮次待公布</t>
  </si>
  <si>
    <t>认可学士学位；经济学及定量能力有利</t>
  </si>
  <si>
    <t>IELTS 6.5（单项5.5）</t>
  </si>
  <si>
    <t>不要求；GMAT/GRE建议提交</t>
  </si>
  <si>
    <t>官网项目页列2027暂定HK$350,000；早申奖学金考虑但金额未量化。</t>
  </si>
  <si>
    <t>香港科技大学|Master of Science in Economics|1年</t>
  </si>
  <si>
    <t>香港理工大学</t>
  </si>
  <si>
    <t>PolyU</t>
  </si>
  <si>
    <t>34学分</t>
  </si>
  <si>
    <t>应用经济/数字经济方向；核心+选修</t>
  </si>
  <si>
    <t>项目/专题课程</t>
  </si>
  <si>
    <t>2027待公布；参考2026：早轮10月15日、主轮1月15日、延长至4月30日</t>
  </si>
  <si>
    <t>认可学士学位</t>
  </si>
  <si>
    <t>大学授课型硕士英语要求；建议IELTS 6.0+并复核</t>
  </si>
  <si>
    <t>冲刺</t>
  </si>
  <si>
    <t>低</t>
  </si>
  <si>
    <t>2026学费；奖学金面向优秀申请人但未见固定金额。</t>
  </si>
  <si>
    <t>香港理工大学|Master of Science in Economics|1年</t>
  </si>
  <si>
    <t>香港大学</t>
  </si>
  <si>
    <t>HKU</t>
  </si>
  <si>
    <t>Master of Economics</t>
  </si>
  <si>
    <t>MEcon</t>
  </si>
  <si>
    <t>10门课程</t>
  </si>
  <si>
    <t>授课型</t>
  </si>
  <si>
    <t>2027轮次以学院官网为准</t>
  </si>
  <si>
    <t>IELTS 6.0（单项5.5）/ TOEFL 80</t>
  </si>
  <si>
    <t>不要求；GMAT/GRE有利</t>
  </si>
  <si>
    <t>2027学费；奖学金场景按学费10%测算，官网列示Dean fellowship/entrance scholarship约5%—50%，实际竞争性审核。</t>
  </si>
  <si>
    <t>香港大学|Master of Economics|1年</t>
  </si>
  <si>
    <t>澳门｜2027硕士项目研究、预算与奖学金决策表</t>
  </si>
  <si>
    <t>MOP</t>
  </si>
  <si>
    <t>澳门官网主流相关硕士均为2年，本表保留一条排除审计行；主推荐数量为0。</t>
  </si>
  <si>
    <t>澳门</t>
  </si>
  <si>
    <t>—</t>
  </si>
  <si>
    <t>审计行</t>
  </si>
  <si>
    <t>无符合本任务条件的主推荐项目</t>
  </si>
  <si>
    <t>2年项目排除核验</t>
  </si>
  <si>
    <t>2年及以上（排除）</t>
  </si>
  <si>
    <t>2027</t>
  </si>
  <si>
    <t>不建议</t>
  </si>
  <si>
    <t>官网核验：澳门大学经济学/金融、澳门科技大学金融/商业分析/应用经济、澳门城市大学金融均为2年；按本任务‘2年以上原则上删除’规则不纳入主推荐。</t>
  </si>
  <si>
    <t>结论已核验；如接受2年制，可另开澳门专项清单</t>
  </si>
  <si>
    <t>—|无符合本任务条件的主推荐项目|2年及以上（排除）</t>
  </si>
  <si>
    <t>英国｜2027硕士项目研究、预算与奖学金决策表</t>
  </si>
  <si>
    <t>GBP</t>
  </si>
  <si>
    <t>英国</t>
  </si>
  <si>
    <t>约克大学</t>
  </si>
  <si>
    <t>York</t>
  </si>
  <si>
    <t>180学分</t>
  </si>
  <si>
    <t>授课型；必修+选修</t>
  </si>
  <si>
    <t>论文/应用项目</t>
  </si>
  <si>
    <t>按规定完成180学分</t>
  </si>
  <si>
    <t>2027待公布；建议奖学金轮次前完成</t>
  </si>
  <si>
    <t>2:2经济学或等同背景；重视定量课程</t>
  </si>
  <si>
    <t>IELTS 6.5（单项6.0）</t>
  </si>
  <si>
    <t>2026国际学费；奖学金官网最高£10,000，本表保守场景按£5,000，非保证。</t>
  </si>
  <si>
    <t>约克大学|MSc Economics|1年</t>
  </si>
  <si>
    <t>贝尔法斯特女王大学</t>
  </si>
  <si>
    <t>QUB</t>
  </si>
  <si>
    <t>Belfast</t>
  </si>
  <si>
    <t>MSc International Political Economy</t>
  </si>
  <si>
    <t>MSc IPE</t>
  </si>
  <si>
    <t>毕业论文/研究项目</t>
  </si>
  <si>
    <t>2027待公布；参考2026建议8月14日前</t>
  </si>
  <si>
    <t>2:2；社会科学、人文或艺术背景</t>
  </si>
  <si>
    <t>2026国际学费；法学双学位与经济学背景对政治经济方向形成互补。</t>
  </si>
  <si>
    <t>贝尔法斯特女王大学|MSc International Political Economy|1年</t>
  </si>
  <si>
    <t>埃克塞特大学</t>
  </si>
  <si>
    <t>Exeter</t>
  </si>
  <si>
    <t>45学分毕业论文</t>
  </si>
  <si>
    <t>按项目规定完成学分</t>
  </si>
  <si>
    <t>2027待公布；建议尽早</t>
  </si>
  <si>
    <t>2:1；经济学或较强定量背景</t>
  </si>
  <si>
    <t>2026国际学费；Exeter Excellence金额与2027轮次需复核，本表不预扣。</t>
  </si>
  <si>
    <t>埃克塞特大学|MSc Economics|1年</t>
  </si>
  <si>
    <t>谢菲尔德大学</t>
  </si>
  <si>
    <t>Sheffield</t>
  </si>
  <si>
    <t>独立研究项目</t>
  </si>
  <si>
    <t>2027待公布</t>
  </si>
  <si>
    <t>2:1经济学或同等背景</t>
  </si>
  <si>
    <t>2026学费；官网列示国际授课型硕士自动£3,000学费减免，无需另申。</t>
  </si>
  <si>
    <t>谢菲尔德大学|MSc Economics|1年</t>
  </si>
  <si>
    <t>利兹大学</t>
  </si>
  <si>
    <t>Leeds</t>
  </si>
  <si>
    <t>毕业论文</t>
  </si>
  <si>
    <t>2:1经济学；需定量课程</t>
  </si>
  <si>
    <t>2026国际学费；奖学金金额/2027轮次未预扣。</t>
  </si>
  <si>
    <t>利兹大学|MSc Economics|1年</t>
  </si>
  <si>
    <t>诺丁汉大学</t>
  </si>
  <si>
    <t>Nottingham</t>
  </si>
  <si>
    <t>2:1经济学；微观、宏观、统计、计量与数学基础</t>
  </si>
  <si>
    <t>2026国际学费；奖学金未设保守金额场景。</t>
  </si>
  <si>
    <t>诺丁汉大学|MSc Economics|1年</t>
  </si>
  <si>
    <t>伯明翰大学</t>
  </si>
  <si>
    <t>Birmingham</t>
  </si>
  <si>
    <t>60学分毕业论文</t>
  </si>
  <si>
    <t>2:1；经济学或相关定量背景</t>
  </si>
  <si>
    <t>官网国际视图列2026学费£31,500；动态页面默认地区可能显示本地费，需以offer复核。</t>
  </si>
  <si>
    <t>伯明翰大学|MSc Economics|1年</t>
  </si>
  <si>
    <t>格拉斯哥大学</t>
  </si>
  <si>
    <t>Glasgow</t>
  </si>
  <si>
    <t>应用研究项目</t>
  </si>
  <si>
    <t>2:1经济学或相关背景</t>
  </si>
  <si>
    <t>2026国际学费；当前中国Pathway奖学金页面显示关闭，2027需重新核验，未预扣。</t>
  </si>
  <si>
    <t>格拉斯哥大学|MSc Economics|1年</t>
  </si>
  <si>
    <t>新西兰｜2027硕士项目研究、预算与奖学金决策表</t>
  </si>
  <si>
    <t>NZD</t>
  </si>
  <si>
    <t>新西兰</t>
  </si>
  <si>
    <t>怀卡托大学</t>
  </si>
  <si>
    <t>Waikato</t>
  </si>
  <si>
    <t>Hamilton</t>
  </si>
  <si>
    <t>Master of Applied Finance</t>
  </si>
  <si>
    <t>MAppFin</t>
  </si>
  <si>
    <t>应用型课程组合</t>
  </si>
  <si>
    <t>2027年A/B学期</t>
  </si>
  <si>
    <t>奖学金：A学期11月30日、B学期5月31日；项目按offer/滚动</t>
  </si>
  <si>
    <t>认可学士；需定量分析能力</t>
  </si>
  <si>
    <t>2027官网估算学费；中国Vice-Chancellor奖学金最高NZ$15,000，本表保守场景按NZ$10,000。</t>
  </si>
  <si>
    <t>怀卡托大学|Master of Applied Finance|1年</t>
  </si>
  <si>
    <t>坎特伯雷大学</t>
  </si>
  <si>
    <t>UC</t>
  </si>
  <si>
    <t>Christchurch</t>
  </si>
  <si>
    <t>Master of Applied Finance and Economics</t>
  </si>
  <si>
    <t>MAFE</t>
  </si>
  <si>
    <t>经济+金融高级课程</t>
  </si>
  <si>
    <t>45学分应用行业项目</t>
  </si>
  <si>
    <t>2027年1月（目标）/7月</t>
  </si>
  <si>
    <t>2027待公布；1月入学建议2026年10月前</t>
  </si>
  <si>
    <t>金融或经济学背景；需微积分</t>
  </si>
  <si>
    <t>2027学费；仅1月入学为12—13个月，7月入学17—18个月；奖学金中国高成就最高NZ$10,000。</t>
  </si>
  <si>
    <t>坎特伯雷大学|Master of Applied Finance and Economics|1年</t>
  </si>
  <si>
    <t>奥塔哥大学</t>
  </si>
  <si>
    <t>Otago</t>
  </si>
  <si>
    <t>Dunedin</t>
  </si>
  <si>
    <t>Master of Business in Economics</t>
  </si>
  <si>
    <t>MBus Economics</t>
  </si>
  <si>
    <t>授课+项目/论文路径</t>
  </si>
  <si>
    <t>项目或论文；S2论文路径可能18个月</t>
  </si>
  <si>
    <t>2027年S1（优先）/S2</t>
  </si>
  <si>
    <t>2027待公布；建议至少提前3个月</t>
  </si>
  <si>
    <t>学士；至少一门中级微观经济学</t>
  </si>
  <si>
    <t>2027学费；S1或非论文路径12个月，S2且论文路径可能18个月，选课时复核。</t>
  </si>
  <si>
    <t>奥塔哥大学|Master of Business in Economics|1年</t>
  </si>
  <si>
    <t>林肯大学</t>
  </si>
  <si>
    <t>Lincoln</t>
  </si>
  <si>
    <t>Lincoln/Christchurch</t>
  </si>
  <si>
    <t>Master of Business in Finance</t>
  </si>
  <si>
    <t>MBus Finance</t>
  </si>
  <si>
    <t>应用研究/项目</t>
  </si>
  <si>
    <t>2027年11月（目标）</t>
  </si>
  <si>
    <t>认可学士；最后一年或300级课程平均B</t>
  </si>
  <si>
    <t>2026估算学费；仅11月入学可12个月完成，其他入学点通常18个月；官网费减免仅适用于新西兰公民/永居。</t>
  </si>
  <si>
    <t>林肯大学|Master of Business in Finance|1年</t>
  </si>
  <si>
    <t>梅西大学</t>
  </si>
  <si>
    <t>Massey</t>
  </si>
  <si>
    <t>Auckland/Palmerston North</t>
  </si>
  <si>
    <t>Master of Finance</t>
  </si>
  <si>
    <t>MFin</t>
  </si>
  <si>
    <t>1.5年</t>
  </si>
  <si>
    <t>研究报告/应用项目</t>
  </si>
  <si>
    <t>2027年S1/S2</t>
  </si>
  <si>
    <t>2027待公布；国际生建议至少提前3个月</t>
  </si>
  <si>
    <t>认可学士；相关背景与成绩要求以项目评估</t>
  </si>
  <si>
    <t>2026学费与服务费估算；官网列12—18个月，本表按18个月预算，属1.5年边界。</t>
  </si>
  <si>
    <t>梅西大学|Master of Finance|1.5年</t>
  </si>
  <si>
    <t>奥克兰理工大学</t>
  </si>
  <si>
    <t>AUT</t>
  </si>
  <si>
    <t>Auckland</t>
  </si>
  <si>
    <t>MAF</t>
  </si>
  <si>
    <t>三学期；金融核心课程</t>
  </si>
  <si>
    <t>应用金融项目</t>
  </si>
  <si>
    <t>2027年1月/3月/6月/10月</t>
  </si>
  <si>
    <t>官网：1月1日/2月26日/6月25日/10月22日</t>
  </si>
  <si>
    <t>学士；通常需B-平均或同等</t>
  </si>
  <si>
    <t>官网列1—1.5年；为控制风险按18个月预算。2026总学费含学生服务费用的官网估算。</t>
  </si>
  <si>
    <t>奥克兰理工大学|Master of Applied Finance|1.5年</t>
  </si>
  <si>
    <t>奥克兰大学</t>
  </si>
  <si>
    <t>15个月Business Masters课程</t>
  </si>
  <si>
    <t>应用项目</t>
  </si>
  <si>
    <t>2027年9月（以官网更新为准）</t>
  </si>
  <si>
    <t>2027待公布；参考2026九月入学奖学金5月27日</t>
  </si>
  <si>
    <t>认可学士；需达到Business Masters学术门槛</t>
  </si>
  <si>
    <t>2026学费+学生服务费；奖学金最高NZ$24,000，本表使用上限场景，仅供敏感性分析、非保证。</t>
  </si>
  <si>
    <t>奥克兰大学|Master of Applied Finance|1.5年</t>
  </si>
  <si>
    <t>申请要求</t>
  </si>
  <si>
    <t>生活费/签证来源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</si>
</sst>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"/>
    <numFmt numFmtId="177" formatCode="0.0"/>
  </numFmts>
  <fonts count="21">
    <font>
      <sz val="11"/>
      <name val="Carlito"/>
    </font>
    <font>
      <b/>
      <sz val="18"/>
      <color rgb="FFFFFFFF"/>
      <name val="Carlito"/>
    </font>
    <font>
      <sz val="10"/>
      <color rgb="FF334155"/>
      <name val="Carlito"/>
    </font>
    <font>
      <b/>
      <sz val="10"/>
      <color rgb="FF0F766E"/>
      <name val="Carlito"/>
    </font>
    <font>
      <b/>
      <sz val="11"/>
      <color rgb="FF0F172A"/>
      <name val="Carlito"/>
    </font>
    <font>
      <sz val="10"/>
      <color rgb="FF475569"/>
      <name val="Carlito"/>
    </font>
    <font>
      <b/>
      <sz val="9"/>
      <color rgb="FF0F766E"/>
      <name val="Carlito"/>
    </font>
    <font>
      <b/>
      <sz val="14"/>
      <color rgb="FF0F172A"/>
      <name val="Carlito"/>
    </font>
    <font>
      <b/>
      <sz val="9"/>
      <color rgb="FFFFFFFF"/>
      <name val="Carlito"/>
    </font>
    <font>
      <sz val="9"/>
      <color rgb="FF334155"/>
      <name val="Carlito"/>
    </font>
    <font>
      <sz val="9"/>
      <color rgb="FF2563EB"/>
      <name val="Carlito"/>
    </font>
    <font>
      <sz val="8"/>
      <color rgb="FF94A3B8"/>
      <name val="Carlito"/>
    </font>
    <font>
      <b/>
      <sz val="10"/>
      <color rgb="FF7C3AED"/>
      <name val="Carlito"/>
    </font>
    <font>
      <b/>
      <sz val="9"/>
      <color rgb="FF7C3AED"/>
      <name val="Carlito"/>
    </font>
    <font>
      <b/>
      <sz val="10"/>
      <color rgb="FF1D4ED8"/>
      <name val="Carlito"/>
    </font>
    <font>
      <b/>
      <sz val="9"/>
      <color rgb="FF1D4ED8"/>
      <name val="Carlito"/>
    </font>
    <font>
      <b/>
      <sz val="10"/>
      <color rgb="FF047857"/>
      <name val="Carlito"/>
    </font>
    <font>
      <b/>
      <sz val="9"/>
      <color rgb="FF047857"/>
      <name val="Carlito"/>
    </font>
    <font>
      <sz val="11"/>
      <name val="Carlito"/>
    </font>
    <font>
      <u/>
      <sz val="11"/>
      <color theme="10"/>
      <name val="Carlito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7C3AED"/>
      </patternFill>
    </fill>
    <fill>
      <patternFill patternType="solid">
        <fgColor rgb="FF1D4ED8"/>
      </patternFill>
    </fill>
    <fill>
      <patternFill patternType="solid">
        <fgColor rgb="FF047857"/>
      </patternFill>
    </fill>
  </fills>
  <borders count="1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3">
    <xf numFmtId="0" fontId="0" fillId="0" borderId="0"/>
    <xf numFmtId="0" fontId="18" fillId="0" borderId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2" fillId="3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176" fontId="2" fillId="3" borderId="1" xfId="1" applyNumberFormat="1" applyFont="1" applyFill="1" applyBorder="1" applyAlignment="1">
      <alignment vertical="center" wrapText="1"/>
    </xf>
    <xf numFmtId="2" fontId="2" fillId="3" borderId="1" xfId="1" applyNumberFormat="1" applyFont="1" applyFill="1" applyBorder="1" applyAlignment="1">
      <alignment vertical="center" wrapText="1"/>
    </xf>
    <xf numFmtId="0" fontId="8" fillId="7" borderId="1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top" wrapText="1"/>
    </xf>
    <xf numFmtId="176" fontId="9" fillId="0" borderId="1" xfId="1" applyNumberFormat="1" applyFont="1" applyBorder="1" applyAlignment="1">
      <alignment vertical="top" wrapText="1"/>
    </xf>
    <xf numFmtId="4" fontId="9" fillId="0" borderId="1" xfId="1" applyNumberFormat="1" applyFont="1" applyBorder="1" applyAlignment="1">
      <alignment vertical="top" wrapText="1"/>
    </xf>
    <xf numFmtId="2" fontId="9" fillId="0" borderId="1" xfId="1" applyNumberFormat="1" applyFont="1" applyBorder="1" applyAlignment="1">
      <alignment vertical="top" wrapText="1"/>
    </xf>
    <xf numFmtId="0" fontId="10" fillId="0" borderId="1" xfId="1" applyFont="1" applyBorder="1" applyAlignment="1">
      <alignment vertical="top" wrapText="1"/>
    </xf>
    <xf numFmtId="0" fontId="11" fillId="0" borderId="0" xfId="1" applyFont="1"/>
    <xf numFmtId="177" fontId="11" fillId="0" borderId="0" xfId="1" applyNumberFormat="1" applyFont="1"/>
    <xf numFmtId="0" fontId="12" fillId="3" borderId="1" xfId="1" applyFont="1" applyFill="1" applyBorder="1" applyAlignment="1">
      <alignment vertical="center" wrapText="1"/>
    </xf>
    <xf numFmtId="0" fontId="14" fillId="3" borderId="1" xfId="1" applyFont="1" applyFill="1" applyBorder="1" applyAlignment="1">
      <alignment vertical="center" wrapText="1"/>
    </xf>
    <xf numFmtId="0" fontId="16" fillId="3" borderId="1" xfId="1" applyFont="1" applyFill="1" applyBorder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2" fillId="3" borderId="1" xfId="1" applyFont="1" applyFill="1" applyBorder="1" applyAlignment="1">
      <alignment vertical="center" wrapText="1"/>
    </xf>
    <xf numFmtId="0" fontId="4" fillId="4" borderId="0" xfId="1" applyFont="1" applyFill="1" applyAlignment="1">
      <alignment vertical="center"/>
    </xf>
    <xf numFmtId="0" fontId="5" fillId="5" borderId="2" xfId="1" applyFont="1" applyFill="1" applyBorder="1" applyAlignment="1">
      <alignment vertical="center" wrapText="1"/>
    </xf>
    <xf numFmtId="0" fontId="5" fillId="5" borderId="3" xfId="1" applyFont="1" applyFill="1" applyBorder="1" applyAlignment="1">
      <alignment vertical="center" wrapText="1"/>
    </xf>
    <xf numFmtId="0" fontId="5" fillId="5" borderId="4" xfId="1" applyFont="1" applyFill="1" applyBorder="1" applyAlignment="1">
      <alignment vertical="center" wrapText="1"/>
    </xf>
    <xf numFmtId="0" fontId="5" fillId="5" borderId="5" xfId="1" applyFont="1" applyFill="1" applyBorder="1" applyAlignment="1">
      <alignment vertical="center" wrapText="1"/>
    </xf>
    <xf numFmtId="0" fontId="5" fillId="5" borderId="0" xfId="1" applyFont="1" applyFill="1" applyAlignment="1">
      <alignment vertical="center" wrapText="1"/>
    </xf>
    <xf numFmtId="0" fontId="5" fillId="5" borderId="6" xfId="1" applyFont="1" applyFill="1" applyBorder="1" applyAlignment="1">
      <alignment vertical="center" wrapText="1"/>
    </xf>
    <xf numFmtId="0" fontId="5" fillId="5" borderId="7" xfId="1" applyFont="1" applyFill="1" applyBorder="1" applyAlignment="1">
      <alignment vertical="center" wrapText="1"/>
    </xf>
    <xf numFmtId="0" fontId="5" fillId="5" borderId="8" xfId="1" applyFont="1" applyFill="1" applyBorder="1" applyAlignment="1">
      <alignment vertical="center" wrapText="1"/>
    </xf>
    <xf numFmtId="0" fontId="5" fillId="5" borderId="9" xfId="1" applyFont="1" applyFill="1" applyBorder="1" applyAlignment="1">
      <alignment vertical="center" wrapText="1"/>
    </xf>
    <xf numFmtId="0" fontId="6" fillId="3" borderId="10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6" fillId="6" borderId="10" xfId="1" applyFont="1" applyFill="1" applyBorder="1" applyAlignment="1">
      <alignment horizontal="center" vertical="center"/>
    </xf>
    <xf numFmtId="0" fontId="7" fillId="6" borderId="10" xfId="1" applyFont="1" applyFill="1" applyBorder="1" applyAlignment="1">
      <alignment horizontal="center" vertical="center"/>
    </xf>
    <xf numFmtId="177" fontId="7" fillId="6" borderId="10" xfId="1" applyNumberFormat="1" applyFont="1" applyFill="1" applyBorder="1" applyAlignment="1">
      <alignment horizontal="center" vertical="center"/>
    </xf>
    <xf numFmtId="177" fontId="7" fillId="3" borderId="10" xfId="1" applyNumberFormat="1" applyFont="1" applyFill="1" applyBorder="1" applyAlignment="1">
      <alignment horizontal="center" vertical="center"/>
    </xf>
    <xf numFmtId="0" fontId="1" fillId="8" borderId="0" xfId="1" applyFont="1" applyFill="1" applyAlignment="1">
      <alignment horizontal="left" vertical="center"/>
    </xf>
    <xf numFmtId="0" fontId="13" fillId="3" borderId="10" xfId="1" applyFont="1" applyFill="1" applyBorder="1" applyAlignment="1">
      <alignment horizontal="center" vertical="center"/>
    </xf>
    <xf numFmtId="0" fontId="13" fillId="6" borderId="10" xfId="1" applyFont="1" applyFill="1" applyBorder="1" applyAlignment="1">
      <alignment horizontal="center" vertical="center"/>
    </xf>
    <xf numFmtId="0" fontId="1" fillId="9" borderId="0" xfId="1" applyFont="1" applyFill="1" applyAlignment="1">
      <alignment horizontal="left" vertical="center"/>
    </xf>
    <xf numFmtId="0" fontId="15" fillId="3" borderId="10" xfId="1" applyFont="1" applyFill="1" applyBorder="1" applyAlignment="1">
      <alignment horizontal="center" vertical="center"/>
    </xf>
    <xf numFmtId="0" fontId="15" fillId="6" borderId="10" xfId="1" applyFont="1" applyFill="1" applyBorder="1" applyAlignment="1">
      <alignment horizontal="center" vertical="center"/>
    </xf>
    <xf numFmtId="0" fontId="1" fillId="10" borderId="0" xfId="1" applyFont="1" applyFill="1" applyAlignment="1">
      <alignment horizontal="left" vertical="center"/>
    </xf>
    <xf numFmtId="0" fontId="17" fillId="3" borderId="10" xfId="1" applyFont="1" applyFill="1" applyBorder="1" applyAlignment="1">
      <alignment horizontal="center" vertical="center"/>
    </xf>
    <xf numFmtId="0" fontId="17" fillId="6" borderId="10" xfId="1" applyFont="1" applyFill="1" applyBorder="1" applyAlignment="1">
      <alignment horizontal="center" vertical="center"/>
    </xf>
    <xf numFmtId="0" fontId="19" fillId="0" borderId="1" xfId="2" applyBorder="1" applyAlignment="1">
      <alignment vertical="top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40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总成本 vs 40万元预算线（万元）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总成本（万元）</c:v>
          </c:tx>
          <c:invertIfNegative val="1"/>
          <c:cat>
            <c:strRef>
              <c:f>香港!$BP$2:$BP$7</c:f>
              <c:strCache>
                <c:ptCount val="6"/>
                <c:pt idx="0">
                  <c:v>HKBU-MSc Applied Economics</c:v>
                </c:pt>
                <c:pt idx="1">
                  <c:v>CityUHK-MSc Applied Economics</c:v>
                </c:pt>
                <c:pt idx="2">
                  <c:v>CUHK-MSc Economics</c:v>
                </c:pt>
                <c:pt idx="3">
                  <c:v>HKUST-MSc Economics</c:v>
                </c:pt>
                <c:pt idx="4">
                  <c:v>PolyU-MSc Economics</c:v>
                </c:pt>
                <c:pt idx="5">
                  <c:v>HKU-MEcon</c:v>
                </c:pt>
              </c:strCache>
            </c:strRef>
          </c:cat>
          <c:val>
            <c:numRef>
              <c:f>香港!$BQ$2:$BQ$7</c:f>
              <c:numCache>
                <c:formatCode>0.0</c:formatCode>
                <c:ptCount val="6"/>
                <c:pt idx="0">
                  <c:v>38.271999999999998</c:v>
                </c:pt>
                <c:pt idx="1">
                  <c:v>42.32</c:v>
                </c:pt>
                <c:pt idx="2">
                  <c:v>42.043999999999997</c:v>
                </c:pt>
                <c:pt idx="3">
                  <c:v>43.332000000000001</c:v>
                </c:pt>
                <c:pt idx="4">
                  <c:v>44.527999999999999</c:v>
                </c:pt>
                <c:pt idx="5">
                  <c:v>51.427999999999997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2-4852-B300-B518C92544BB}"/>
            </c:ext>
          </c:extLst>
        </c:ser>
        <c:ser>
          <c:idx val="1"/>
          <c:order val="1"/>
          <c:tx>
            <c:v>预算线（万元）</c:v>
          </c:tx>
          <c:invertIfNegative val="1"/>
          <c:cat>
            <c:strRef>
              <c:f>香港!$BP$2:$BP$7</c:f>
              <c:strCache>
                <c:ptCount val="6"/>
                <c:pt idx="0">
                  <c:v>HKBU-MSc Applied Economics</c:v>
                </c:pt>
                <c:pt idx="1">
                  <c:v>CityUHK-MSc Applied Economics</c:v>
                </c:pt>
                <c:pt idx="2">
                  <c:v>CUHK-MSc Economics</c:v>
                </c:pt>
                <c:pt idx="3">
                  <c:v>HKUST-MSc Economics</c:v>
                </c:pt>
                <c:pt idx="4">
                  <c:v>PolyU-MSc Economics</c:v>
                </c:pt>
                <c:pt idx="5">
                  <c:v>HKU-MEcon</c:v>
                </c:pt>
              </c:strCache>
            </c:strRef>
          </c:cat>
          <c:val>
            <c:numRef>
              <c:f>香港!$BR$2:$BR$7</c:f>
              <c:numCache>
                <c:formatCode>0.0</c:formatCode>
                <c:ptCount val="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2-4852-B300-B518C9254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预算状态分布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数量</c:v>
          </c:tx>
          <c:cat>
            <c:strRef>
              <c:f>香港!$BU$2:$BU$4</c:f>
              <c:strCache>
                <c:ptCount val="3"/>
                <c:pt idx="0">
                  <c:v>预算内</c:v>
                </c:pt>
                <c:pt idx="1">
                  <c:v>临界预算</c:v>
                </c:pt>
                <c:pt idx="2">
                  <c:v>超预算</c:v>
                </c:pt>
              </c:strCache>
            </c:strRef>
          </c:cat>
          <c:val>
            <c:numRef>
              <c:f>香港!$BV$2:$BV$4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E-4A41-8F14-6C116B7BF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专业类别数量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香港!$BX$2:$BX$12</c:f>
              <c:strCache>
                <c:ptCount val="11"/>
                <c:pt idx="0">
                  <c:v>经济学</c:v>
                </c:pt>
                <c:pt idx="1">
                  <c:v>应用经济学</c:v>
                </c:pt>
                <c:pt idx="2">
                  <c:v>金融学</c:v>
                </c:pt>
                <c:pt idx="3">
                  <c:v>金融与经济</c:v>
                </c:pt>
                <c:pt idx="4">
                  <c:v>商业分析</c:v>
                </c:pt>
                <c:pt idx="5">
                  <c:v>管理学</c:v>
                </c:pt>
                <c:pt idx="6">
                  <c:v>公共政策</c:v>
                </c:pt>
                <c:pt idx="7">
                  <c:v>国际政治经济</c:v>
                </c:pt>
                <c:pt idx="8">
                  <c:v>商法</c:v>
                </c:pt>
                <c:pt idx="9">
                  <c:v>知识产权法</c:v>
                </c:pt>
                <c:pt idx="10">
                  <c:v>其他</c:v>
                </c:pt>
              </c:strCache>
            </c:strRef>
          </c:cat>
          <c:val>
            <c:numRef>
              <c:f>香港!$BY$2:$BY$12</c:f>
              <c:numCache>
                <c:formatCode>General</c:formatCode>
                <c:ptCount val="11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4-453D-97EC-05859824B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奖学金状态数量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香港!$CA$2:$CA$5</c:f>
              <c:strCache>
                <c:ptCount val="4"/>
                <c:pt idx="0">
                  <c:v>自动随录取审核</c:v>
                </c:pt>
                <c:pt idx="1">
                  <c:v>需要单独申请</c:v>
                </c:pt>
                <c:pt idx="2">
                  <c:v>没有明确奖学金</c:v>
                </c:pt>
                <c:pt idx="3">
                  <c:v>奖学金信息待确认</c:v>
                </c:pt>
              </c:strCache>
            </c:strRef>
          </c:cat>
          <c:val>
            <c:numRef>
              <c:f>香港!$CB$2:$CB$5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8-4398-AFBE-91FA31201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总成本 vs 40万元预算线（万元）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总成本（万元）</c:v>
          </c:tx>
          <c:invertIfNegative val="1"/>
          <c:cat>
            <c:strRef>
              <c:f>澳门!$BP$2</c:f>
              <c:strCache>
                <c:ptCount val="1"/>
                <c:pt idx="0">
                  <c:v>无符合条件项目</c:v>
                </c:pt>
              </c:strCache>
            </c:strRef>
          </c:cat>
          <c:val>
            <c:numRef>
              <c:f>澳门!$BQ$2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0-4683-8FA0-4CC0C4B7ADB7}"/>
            </c:ext>
          </c:extLst>
        </c:ser>
        <c:ser>
          <c:idx val="1"/>
          <c:order val="1"/>
          <c:tx>
            <c:v>预算线（万元）</c:v>
          </c:tx>
          <c:invertIfNegative val="1"/>
          <c:cat>
            <c:strRef>
              <c:f>澳门!$BP$2</c:f>
              <c:strCache>
                <c:ptCount val="1"/>
                <c:pt idx="0">
                  <c:v>无符合条件项目</c:v>
                </c:pt>
              </c:strCache>
            </c:strRef>
          </c:cat>
          <c:val>
            <c:numRef>
              <c:f>澳门!$BR$2</c:f>
              <c:numCache>
                <c:formatCode>0.0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0-4683-8FA0-4CC0C4B7A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预算状态分布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数量</c:v>
          </c:tx>
          <c:cat>
            <c:strRef>
              <c:f>澳门!$BU$2:$BU$4</c:f>
              <c:strCache>
                <c:ptCount val="3"/>
                <c:pt idx="0">
                  <c:v>预算内</c:v>
                </c:pt>
                <c:pt idx="1">
                  <c:v>临界预算</c:v>
                </c:pt>
                <c:pt idx="2">
                  <c:v>超预算</c:v>
                </c:pt>
              </c:strCache>
            </c:strRef>
          </c:cat>
          <c:val>
            <c:numRef>
              <c:f>澳门!$BV$2:$BV$4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8-41A1-AC42-9BFB9BB7C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专业类别数量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澳门!$BX$2:$BX$12</c:f>
              <c:strCache>
                <c:ptCount val="11"/>
                <c:pt idx="0">
                  <c:v>经济学</c:v>
                </c:pt>
                <c:pt idx="1">
                  <c:v>应用经济学</c:v>
                </c:pt>
                <c:pt idx="2">
                  <c:v>金融学</c:v>
                </c:pt>
                <c:pt idx="3">
                  <c:v>金融与经济</c:v>
                </c:pt>
                <c:pt idx="4">
                  <c:v>商业分析</c:v>
                </c:pt>
                <c:pt idx="5">
                  <c:v>管理学</c:v>
                </c:pt>
                <c:pt idx="6">
                  <c:v>公共政策</c:v>
                </c:pt>
                <c:pt idx="7">
                  <c:v>国际政治经济</c:v>
                </c:pt>
                <c:pt idx="8">
                  <c:v>商法</c:v>
                </c:pt>
                <c:pt idx="9">
                  <c:v>知识产权法</c:v>
                </c:pt>
                <c:pt idx="10">
                  <c:v>其他</c:v>
                </c:pt>
              </c:strCache>
            </c:strRef>
          </c:cat>
          <c:val>
            <c:numRef>
              <c:f>澳门!$BY$2:$BY$12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9-4212-AB18-82A2AB7C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奖学金状态数量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澳门!$CA$2:$CA$5</c:f>
              <c:strCache>
                <c:ptCount val="4"/>
                <c:pt idx="0">
                  <c:v>自动随录取审核</c:v>
                </c:pt>
                <c:pt idx="1">
                  <c:v>需要单独申请</c:v>
                </c:pt>
                <c:pt idx="2">
                  <c:v>没有明确奖学金</c:v>
                </c:pt>
                <c:pt idx="3">
                  <c:v>奖学金信息待确认</c:v>
                </c:pt>
              </c:strCache>
            </c:strRef>
          </c:cat>
          <c:val>
            <c:numRef>
              <c:f>澳门!$CB$2:$CB$5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3-4536-AC58-6E37219FE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总成本 vs 40万元预算线（万元）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总成本（万元）</c:v>
          </c:tx>
          <c:invertIfNegative val="1"/>
          <c:cat>
            <c:strRef>
              <c:f>英国!$BP$2:$BP$9</c:f>
              <c:strCache>
                <c:ptCount val="8"/>
                <c:pt idx="0">
                  <c:v>York-MSc Economics</c:v>
                </c:pt>
                <c:pt idx="1">
                  <c:v>QUB-MSc IPE</c:v>
                </c:pt>
                <c:pt idx="2">
                  <c:v>Exeter-MSc Economics</c:v>
                </c:pt>
                <c:pt idx="3">
                  <c:v>Sheffield-MSc Economics</c:v>
                </c:pt>
                <c:pt idx="4">
                  <c:v>Leeds-MSc Economics</c:v>
                </c:pt>
                <c:pt idx="5">
                  <c:v>Nottingham-MSc Economics</c:v>
                </c:pt>
                <c:pt idx="6">
                  <c:v>Birmingham-MSc Economics</c:v>
                </c:pt>
                <c:pt idx="7">
                  <c:v>Glasgow-MSc Economics</c:v>
                </c:pt>
              </c:strCache>
            </c:strRef>
          </c:cat>
          <c:val>
            <c:numRef>
              <c:f>英国!$BQ$2:$BQ$9</c:f>
              <c:numCache>
                <c:formatCode>0.0</c:formatCode>
                <c:ptCount val="8"/>
                <c:pt idx="0">
                  <c:v>42.012799999999999</c:v>
                </c:pt>
                <c:pt idx="1">
                  <c:v>37.975299999999997</c:v>
                </c:pt>
                <c:pt idx="2">
                  <c:v>41.680300000000003</c:v>
                </c:pt>
                <c:pt idx="3">
                  <c:v>43.855800000000002</c:v>
                </c:pt>
                <c:pt idx="4">
                  <c:v>44.387799999999999</c:v>
                </c:pt>
                <c:pt idx="5">
                  <c:v>45.385300000000001</c:v>
                </c:pt>
                <c:pt idx="6">
                  <c:v>46.0503</c:v>
                </c:pt>
                <c:pt idx="7">
                  <c:v>47.674799999999998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E-4910-A432-C2707EC60FA4}"/>
            </c:ext>
          </c:extLst>
        </c:ser>
        <c:ser>
          <c:idx val="1"/>
          <c:order val="1"/>
          <c:tx>
            <c:v>预算线（万元）</c:v>
          </c:tx>
          <c:invertIfNegative val="1"/>
          <c:cat>
            <c:strRef>
              <c:f>英国!$BP$2:$BP$9</c:f>
              <c:strCache>
                <c:ptCount val="8"/>
                <c:pt idx="0">
                  <c:v>York-MSc Economics</c:v>
                </c:pt>
                <c:pt idx="1">
                  <c:v>QUB-MSc IPE</c:v>
                </c:pt>
                <c:pt idx="2">
                  <c:v>Exeter-MSc Economics</c:v>
                </c:pt>
                <c:pt idx="3">
                  <c:v>Sheffield-MSc Economics</c:v>
                </c:pt>
                <c:pt idx="4">
                  <c:v>Leeds-MSc Economics</c:v>
                </c:pt>
                <c:pt idx="5">
                  <c:v>Nottingham-MSc Economics</c:v>
                </c:pt>
                <c:pt idx="6">
                  <c:v>Birmingham-MSc Economics</c:v>
                </c:pt>
                <c:pt idx="7">
                  <c:v>Glasgow-MSc Economics</c:v>
                </c:pt>
              </c:strCache>
            </c:strRef>
          </c:cat>
          <c:val>
            <c:numRef>
              <c:f>英国!$BR$2:$BR$9</c:f>
              <c:numCache>
                <c:formatCode>0.0</c:formatCode>
                <c:ptCount val="8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E-4910-A432-C2707EC60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预算状态分布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数量</c:v>
          </c:tx>
          <c:cat>
            <c:strRef>
              <c:f>英国!$BU$2:$BU$4</c:f>
              <c:strCache>
                <c:ptCount val="3"/>
                <c:pt idx="0">
                  <c:v>预算内</c:v>
                </c:pt>
                <c:pt idx="1">
                  <c:v>临界预算</c:v>
                </c:pt>
                <c:pt idx="2">
                  <c:v>超预算</c:v>
                </c:pt>
              </c:strCache>
            </c:strRef>
          </c:cat>
          <c:val>
            <c:numRef>
              <c:f>英国!$BV$2:$BV$4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3-4CB1-AC6C-3100FAD86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专业类别数量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英国!$BX$2:$BX$12</c:f>
              <c:strCache>
                <c:ptCount val="11"/>
                <c:pt idx="0">
                  <c:v>经济学</c:v>
                </c:pt>
                <c:pt idx="1">
                  <c:v>应用经济学</c:v>
                </c:pt>
                <c:pt idx="2">
                  <c:v>金融学</c:v>
                </c:pt>
                <c:pt idx="3">
                  <c:v>金融与经济</c:v>
                </c:pt>
                <c:pt idx="4">
                  <c:v>商业分析</c:v>
                </c:pt>
                <c:pt idx="5">
                  <c:v>管理学</c:v>
                </c:pt>
                <c:pt idx="6">
                  <c:v>公共政策</c:v>
                </c:pt>
                <c:pt idx="7">
                  <c:v>国际政治经济</c:v>
                </c:pt>
                <c:pt idx="8">
                  <c:v>商法</c:v>
                </c:pt>
                <c:pt idx="9">
                  <c:v>知识产权法</c:v>
                </c:pt>
                <c:pt idx="10">
                  <c:v>其他</c:v>
                </c:pt>
              </c:strCache>
            </c:strRef>
          </c:cat>
          <c:val>
            <c:numRef>
              <c:f>英国!$BY$2:$BY$12</c:f>
              <c:numCache>
                <c:formatCode>General</c:formatCode>
                <c:ptCount val="11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0-457F-8D1F-E46A177FD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奖学金状态数量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英国!$CA$2:$CA$5</c:f>
              <c:strCache>
                <c:ptCount val="4"/>
                <c:pt idx="0">
                  <c:v>自动随录取审核</c:v>
                </c:pt>
                <c:pt idx="1">
                  <c:v>需要单独申请</c:v>
                </c:pt>
                <c:pt idx="2">
                  <c:v>没有明确奖学金</c:v>
                </c:pt>
                <c:pt idx="3">
                  <c:v>奖学金信息待确认</c:v>
                </c:pt>
              </c:strCache>
            </c:strRef>
          </c:cat>
          <c:val>
            <c:numRef>
              <c:f>英国!$CB$2:$CB$5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1-458A-8D50-E6BF026CD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总成本 vs 40万元预算线（万元）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总成本（万元）</c:v>
          </c:tx>
          <c:invertIfNegative val="1"/>
          <c:cat>
            <c:strRef>
              <c:f>新西兰!$BP$2:$BP$8</c:f>
              <c:strCache>
                <c:ptCount val="7"/>
                <c:pt idx="0">
                  <c:v>Waikato-MAppFin</c:v>
                </c:pt>
                <c:pt idx="1">
                  <c:v>UC-MAFE</c:v>
                </c:pt>
                <c:pt idx="2">
                  <c:v>Otago-MBus Economics</c:v>
                </c:pt>
                <c:pt idx="3">
                  <c:v>Lincoln-MBus Finance</c:v>
                </c:pt>
                <c:pt idx="4">
                  <c:v>Massey-MFin</c:v>
                </c:pt>
                <c:pt idx="5">
                  <c:v>AUT-MAF</c:v>
                </c:pt>
                <c:pt idx="6">
                  <c:v>Auckland-MAppFin</c:v>
                </c:pt>
              </c:strCache>
            </c:strRef>
          </c:cat>
          <c:val>
            <c:numRef>
              <c:f>新西兰!$BQ$2:$BQ$8</c:f>
              <c:numCache>
                <c:formatCode>0.0</c:formatCode>
                <c:ptCount val="7"/>
                <c:pt idx="0">
                  <c:v>37.796100000000003</c:v>
                </c:pt>
                <c:pt idx="1">
                  <c:v>36.356499999999997</c:v>
                </c:pt>
                <c:pt idx="2">
                  <c:v>38.6721</c:v>
                </c:pt>
                <c:pt idx="3">
                  <c:v>35.3245</c:v>
                </c:pt>
                <c:pt idx="4">
                  <c:v>41.304099999999998</c:v>
                </c:pt>
                <c:pt idx="5">
                  <c:v>41.250900000000001</c:v>
                </c:pt>
                <c:pt idx="6">
                  <c:v>46.342100000000002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3-448B-86D8-3ECA9616A9F3}"/>
            </c:ext>
          </c:extLst>
        </c:ser>
        <c:ser>
          <c:idx val="1"/>
          <c:order val="1"/>
          <c:tx>
            <c:v>预算线（万元）</c:v>
          </c:tx>
          <c:invertIfNegative val="1"/>
          <c:cat>
            <c:strRef>
              <c:f>新西兰!$BP$2:$BP$8</c:f>
              <c:strCache>
                <c:ptCount val="7"/>
                <c:pt idx="0">
                  <c:v>Waikato-MAppFin</c:v>
                </c:pt>
                <c:pt idx="1">
                  <c:v>UC-MAFE</c:v>
                </c:pt>
                <c:pt idx="2">
                  <c:v>Otago-MBus Economics</c:v>
                </c:pt>
                <c:pt idx="3">
                  <c:v>Lincoln-MBus Finance</c:v>
                </c:pt>
                <c:pt idx="4">
                  <c:v>Massey-MFin</c:v>
                </c:pt>
                <c:pt idx="5">
                  <c:v>AUT-MAF</c:v>
                </c:pt>
                <c:pt idx="6">
                  <c:v>Auckland-MAppFin</c:v>
                </c:pt>
              </c:strCache>
            </c:strRef>
          </c:cat>
          <c:val>
            <c:numRef>
              <c:f>新西兰!$BR$2:$BR$8</c:f>
              <c:numCache>
                <c:formatCode>0.0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3-448B-86D8-3ECA9616A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预算状态分布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数量</c:v>
          </c:tx>
          <c:cat>
            <c:strRef>
              <c:f>新西兰!$BU$2:$BU$4</c:f>
              <c:strCache>
                <c:ptCount val="3"/>
                <c:pt idx="0">
                  <c:v>预算内</c:v>
                </c:pt>
                <c:pt idx="1">
                  <c:v>临界预算</c:v>
                </c:pt>
                <c:pt idx="2">
                  <c:v>超预算</c:v>
                </c:pt>
              </c:strCache>
            </c:strRef>
          </c:cat>
          <c:val>
            <c:numRef>
              <c:f>新西兰!$BV$2:$BV$4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9-4871-A848-579BFCED7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专业类别数量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新西兰!$BX$2:$BX$12</c:f>
              <c:strCache>
                <c:ptCount val="11"/>
                <c:pt idx="0">
                  <c:v>经济学</c:v>
                </c:pt>
                <c:pt idx="1">
                  <c:v>应用经济学</c:v>
                </c:pt>
                <c:pt idx="2">
                  <c:v>金融学</c:v>
                </c:pt>
                <c:pt idx="3">
                  <c:v>金融与经济</c:v>
                </c:pt>
                <c:pt idx="4">
                  <c:v>商业分析</c:v>
                </c:pt>
                <c:pt idx="5">
                  <c:v>管理学</c:v>
                </c:pt>
                <c:pt idx="6">
                  <c:v>公共政策</c:v>
                </c:pt>
                <c:pt idx="7">
                  <c:v>国际政治经济</c:v>
                </c:pt>
                <c:pt idx="8">
                  <c:v>商法</c:v>
                </c:pt>
                <c:pt idx="9">
                  <c:v>知识产权法</c:v>
                </c:pt>
                <c:pt idx="10">
                  <c:v>其他</c:v>
                </c:pt>
              </c:strCache>
            </c:strRef>
          </c:cat>
          <c:val>
            <c:numRef>
              <c:f>新西兰!$BY$2:$BY$12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C-4D70-93B0-BC14975E1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奖学金状态数量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新西兰!$CA$2:$CA$5</c:f>
              <c:strCache>
                <c:ptCount val="4"/>
                <c:pt idx="0">
                  <c:v>自动随录取审核</c:v>
                </c:pt>
                <c:pt idx="1">
                  <c:v>需要单独申请</c:v>
                </c:pt>
                <c:pt idx="2">
                  <c:v>没有明确奖学金</c:v>
                </c:pt>
                <c:pt idx="3">
                  <c:v>奖学金信息待确认</c:v>
                </c:pt>
              </c:strCache>
            </c:strRef>
          </c:cat>
          <c:val>
            <c:numRef>
              <c:f>新西兰!$CB$2:$CB$5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3-4765-AC73-ECB7498EF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28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39</xdr:col>
      <xdr:colOff>0</xdr:colOff>
      <xdr:row>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0</xdr:row>
      <xdr:rowOff>0</xdr:rowOff>
    </xdr:from>
    <xdr:to>
      <xdr:col>50</xdr:col>
      <xdr:colOff>0</xdr:colOff>
      <xdr:row>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7</xdr:row>
      <xdr:rowOff>0</xdr:rowOff>
    </xdr:from>
    <xdr:to>
      <xdr:col>50</xdr:col>
      <xdr:colOff>0</xdr:colOff>
      <xdr:row>15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28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39</xdr:col>
      <xdr:colOff>0</xdr:colOff>
      <xdr:row>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0</xdr:row>
      <xdr:rowOff>0</xdr:rowOff>
    </xdr:from>
    <xdr:to>
      <xdr:col>50</xdr:col>
      <xdr:colOff>0</xdr:colOff>
      <xdr:row>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7</xdr:row>
      <xdr:rowOff>0</xdr:rowOff>
    </xdr:from>
    <xdr:to>
      <xdr:col>50</xdr:col>
      <xdr:colOff>0</xdr:colOff>
      <xdr:row>15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28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39</xdr:col>
      <xdr:colOff>0</xdr:colOff>
      <xdr:row>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0</xdr:row>
      <xdr:rowOff>0</xdr:rowOff>
    </xdr:from>
    <xdr:to>
      <xdr:col>50</xdr:col>
      <xdr:colOff>0</xdr:colOff>
      <xdr:row>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7</xdr:row>
      <xdr:rowOff>0</xdr:rowOff>
    </xdr:from>
    <xdr:to>
      <xdr:col>50</xdr:col>
      <xdr:colOff>0</xdr:colOff>
      <xdr:row>15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28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39</xdr:col>
      <xdr:colOff>0</xdr:colOff>
      <xdr:row>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0</xdr:row>
      <xdr:rowOff>0</xdr:rowOff>
    </xdr:from>
    <xdr:to>
      <xdr:col>50</xdr:col>
      <xdr:colOff>0</xdr:colOff>
      <xdr:row>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7</xdr:row>
      <xdr:rowOff>0</xdr:rowOff>
    </xdr:from>
    <xdr:to>
      <xdr:col>50</xdr:col>
      <xdr:colOff>0</xdr:colOff>
      <xdr:row>15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ngKongPrograms" displayName="HongKongPrograms" ref="A16:BN22" totalsRowShown="0">
  <autoFilter ref="A16:BN22" xr:uid="{00000000-0009-0000-0100-000001000000}"/>
  <tableColumns count="66">
    <tableColumn id="1" xr3:uid="{00000000-0010-0000-0000-000001000000}" name="国家/地区"/>
    <tableColumn id="2" xr3:uid="{00000000-0010-0000-0000-000002000000}" name="大学"/>
    <tableColumn id="3" xr3:uid="{00000000-0010-0000-0000-000003000000}" name="大学简称"/>
    <tableColumn id="4" xr3:uid="{00000000-0010-0000-0000-000004000000}" name="城市"/>
    <tableColumn id="5" xr3:uid="{00000000-0010-0000-0000-000005000000}" name="专业名称"/>
    <tableColumn id="6" xr3:uid="{00000000-0010-0000-0000-000006000000}" name="专业简称"/>
    <tableColumn id="7" xr3:uid="{00000000-0010-0000-0000-000007000000}" name="专业类别"/>
    <tableColumn id="8" xr3:uid="{00000000-0010-0000-0000-000008000000}" name="学位类型"/>
    <tableColumn id="9" xr3:uid="{00000000-0010-0000-0000-000009000000}" name="学制"/>
    <tableColumn id="10" xr3:uid="{00000000-0010-0000-0000-00000A000000}" name="学制月数"/>
    <tableColumn id="11" xr3:uid="{00000000-0010-0000-0000-00000B000000}" name="学习模式"/>
    <tableColumn id="12" xr3:uid="{00000000-0010-0000-0000-00000C000000}" name="总学分"/>
    <tableColumn id="13" xr3:uid="{00000000-0010-0000-0000-00000D000000}" name="必修/选修"/>
    <tableColumn id="14" xr3:uid="{00000000-0010-0000-0000-00000E000000}" name="论文/Capstone"/>
    <tableColumn id="15" xr3:uid="{00000000-0010-0000-0000-00000F000000}" name="最低毕业成绩/最长修读"/>
    <tableColumn id="16" xr3:uid="{00000000-0010-0000-0000-000010000000}" name="申请年度/入学时间"/>
    <tableColumn id="17" xr3:uid="{00000000-0010-0000-0000-000011000000}" name="申请截止"/>
    <tableColumn id="18" xr3:uid="{00000000-0010-0000-0000-000012000000}" name="本科要求"/>
    <tableColumn id="19" xr3:uid="{00000000-0010-0000-0000-000013000000}" name="雅思要求"/>
    <tableColumn id="20" xr3:uid="{00000000-0010-0000-0000-000014000000}" name="接受六级"/>
    <tableColumn id="21" xr3:uid="{00000000-0010-0000-0000-000015000000}" name="GMAT/GRE"/>
    <tableColumn id="22" xr3:uid="{00000000-0010-0000-0000-000016000000}" name="接受经济学本科"/>
    <tableColumn id="23" xr3:uid="{00000000-0010-0000-0000-000017000000}" name="接受非法学背景"/>
    <tableColumn id="24" xr3:uid="{00000000-0010-0000-0000-000018000000}" name="申请定位"/>
    <tableColumn id="25" xr3:uid="{00000000-0010-0000-0000-000019000000}" name="综合推荐分"/>
    <tableColumn id="26" xr3:uid="{00000000-0010-0000-0000-00001A000000}" name="建议申请优先级"/>
    <tableColumn id="27" xr3:uid="{00000000-0010-0000-0000-00001B000000}" name="是否主推荐"/>
    <tableColumn id="28" xr3:uid="{00000000-0010-0000-0000-00001C000000}" name="学费RMB"/>
    <tableColumn id="29" xr3:uid="{00000000-0010-0000-0000-00001D000000}" name="学费原币"/>
    <tableColumn id="30" xr3:uid="{00000000-0010-0000-0000-00001E000000}" name="住宿RMB"/>
    <tableColumn id="31" xr3:uid="{00000000-0010-0000-0000-00001F000000}" name="住宿原币"/>
    <tableColumn id="32" xr3:uid="{00000000-0010-0000-0000-000020000000}" name="饮食RMB"/>
    <tableColumn id="33" xr3:uid="{00000000-0010-0000-0000-000021000000}" name="饮食原币"/>
    <tableColumn id="34" xr3:uid="{00000000-0010-0000-0000-000022000000}" name="通勤RMB"/>
    <tableColumn id="35" xr3:uid="{00000000-0010-0000-0000-000023000000}" name="通勤原币"/>
    <tableColumn id="36" xr3:uid="{00000000-0010-0000-0000-000024000000}" name="日常RMB"/>
    <tableColumn id="37" xr3:uid="{00000000-0010-0000-0000-000025000000}" name="日常原币"/>
    <tableColumn id="38" xr3:uid="{00000000-0010-0000-0000-000026000000}" name="签证保险RMB"/>
    <tableColumn id="39" xr3:uid="{00000000-0010-0000-0000-000027000000}" name="签证保险原币"/>
    <tableColumn id="40" xr3:uid="{00000000-0010-0000-0000-000028000000}" name="教材其他强制RMB"/>
    <tableColumn id="41" xr3:uid="{00000000-0010-0000-0000-000029000000}" name="教材其他强制原币"/>
    <tableColumn id="42" xr3:uid="{00000000-0010-0000-0000-00002A000000}" name="往返交通RMB"/>
    <tableColumn id="43" xr3:uid="{00000000-0010-0000-0000-00002B000000}" name="往返交通原币"/>
    <tableColumn id="44" xr3:uid="{00000000-0010-0000-0000-00002C000000}" name="未奖总成本RMB"/>
    <tableColumn id="45" xr3:uid="{00000000-0010-0000-0000-00002D000000}" name="未奖总成本原币"/>
    <tableColumn id="46" xr3:uid="{00000000-0010-0000-0000-00002E000000}" name="总成本万元"/>
    <tableColumn id="47" xr3:uid="{00000000-0010-0000-0000-00002F000000}" name="奖学金RMB"/>
    <tableColumn id="48" xr3:uid="{00000000-0010-0000-0000-000030000000}" name="奖学金原币"/>
    <tableColumn id="49" xr3:uid="{00000000-0010-0000-0000-000031000000}" name="奖学金状态"/>
    <tableColumn id="50" xr3:uid="{00000000-0010-0000-0000-000032000000}" name="是否有奖学金"/>
    <tableColumn id="51" xr3:uid="{00000000-0010-0000-0000-000033000000}" name="是否自动审核奖学金"/>
    <tableColumn id="52" xr3:uid="{00000000-0010-0000-0000-000034000000}" name="奖学金竞争度"/>
    <tableColumn id="53" xr3:uid="{00000000-0010-0000-0000-000035000000}" name="奖后总成本RMB"/>
    <tableColumn id="54" xr3:uid="{00000000-0010-0000-0000-000036000000}" name="奖后总成本原币"/>
    <tableColumn id="55" xr3:uid="{00000000-0010-0000-0000-000037000000}" name="与40万元差额RMB"/>
    <tableColumn id="56" xr3:uid="{00000000-0010-0000-0000-000038000000}" name="预算状态"/>
    <tableColumn id="57" xr3:uid="{00000000-0010-0000-0000-000039000000}" name="数据日期"/>
    <tableColumn id="58" xr3:uid="{00000000-0010-0000-0000-00003A000000}" name="项目官网"/>
    <tableColumn id="59" xr3:uid="{00000000-0010-0000-0000-00003B000000}" name="学费来源"/>
    <tableColumn id="60" xr3:uid="{00000000-0010-0000-0000-00003C000000}" name="申请要求来源"/>
    <tableColumn id="61" xr3:uid="{00000000-0010-0000-0000-00003D000000}" name="奖学金来源"/>
    <tableColumn id="62" xr3:uid="{00000000-0010-0000-0000-00003E000000}" name="生活费来源"/>
    <tableColumn id="63" xr3:uid="{00000000-0010-0000-0000-00003F000000}" name="备注/冲突"/>
    <tableColumn id="64" xr3:uid="{00000000-0010-0000-0000-000040000000}" name="人工复核"/>
    <tableColumn id="65" xr3:uid="{00000000-0010-0000-0000-000041000000}" name="去重键"/>
    <tableColumn id="66" xr3:uid="{00000000-0010-0000-0000-000042000000}" name="大学首次计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cauAudit" displayName="MacauAudit" ref="A16:BN17" totalsRowShown="0">
  <autoFilter ref="A16:BN17" xr:uid="{00000000-0009-0000-0100-000002000000}"/>
  <tableColumns count="66">
    <tableColumn id="1" xr3:uid="{00000000-0010-0000-0100-000001000000}" name="国家/地区"/>
    <tableColumn id="2" xr3:uid="{00000000-0010-0000-0100-000002000000}" name="大学"/>
    <tableColumn id="3" xr3:uid="{00000000-0010-0000-0100-000003000000}" name="大学简称"/>
    <tableColumn id="4" xr3:uid="{00000000-0010-0000-0100-000004000000}" name="城市"/>
    <tableColumn id="5" xr3:uid="{00000000-0010-0000-0100-000005000000}" name="专业名称"/>
    <tableColumn id="6" xr3:uid="{00000000-0010-0000-0100-000006000000}" name="专业简称"/>
    <tableColumn id="7" xr3:uid="{00000000-0010-0000-0100-000007000000}" name="专业类别"/>
    <tableColumn id="8" xr3:uid="{00000000-0010-0000-0100-000008000000}" name="学位类型"/>
    <tableColumn id="9" xr3:uid="{00000000-0010-0000-0100-000009000000}" name="学制"/>
    <tableColumn id="10" xr3:uid="{00000000-0010-0000-0100-00000A000000}" name="学制月数"/>
    <tableColumn id="11" xr3:uid="{00000000-0010-0000-0100-00000B000000}" name="学习模式"/>
    <tableColumn id="12" xr3:uid="{00000000-0010-0000-0100-00000C000000}" name="总学分"/>
    <tableColumn id="13" xr3:uid="{00000000-0010-0000-0100-00000D000000}" name="必修/选修"/>
    <tableColumn id="14" xr3:uid="{00000000-0010-0000-0100-00000E000000}" name="论文/Capstone"/>
    <tableColumn id="15" xr3:uid="{00000000-0010-0000-0100-00000F000000}" name="最低毕业成绩/最长修读"/>
    <tableColumn id="16" xr3:uid="{00000000-0010-0000-0100-000010000000}" name="申请年度/入学时间"/>
    <tableColumn id="17" xr3:uid="{00000000-0010-0000-0100-000011000000}" name="申请截止"/>
    <tableColumn id="18" xr3:uid="{00000000-0010-0000-0100-000012000000}" name="本科要求"/>
    <tableColumn id="19" xr3:uid="{00000000-0010-0000-0100-000013000000}" name="雅思要求"/>
    <tableColumn id="20" xr3:uid="{00000000-0010-0000-0100-000014000000}" name="接受六级"/>
    <tableColumn id="21" xr3:uid="{00000000-0010-0000-0100-000015000000}" name="GMAT/GRE"/>
    <tableColumn id="22" xr3:uid="{00000000-0010-0000-0100-000016000000}" name="接受经济学本科"/>
    <tableColumn id="23" xr3:uid="{00000000-0010-0000-0100-000017000000}" name="接受非法学背景"/>
    <tableColumn id="24" xr3:uid="{00000000-0010-0000-0100-000018000000}" name="申请定位"/>
    <tableColumn id="25" xr3:uid="{00000000-0010-0000-0100-000019000000}" name="综合推荐分"/>
    <tableColumn id="26" xr3:uid="{00000000-0010-0000-0100-00001A000000}" name="建议申请优先级"/>
    <tableColumn id="27" xr3:uid="{00000000-0010-0000-0100-00001B000000}" name="是否主推荐"/>
    <tableColumn id="28" xr3:uid="{00000000-0010-0000-0100-00001C000000}" name="学费RMB"/>
    <tableColumn id="29" xr3:uid="{00000000-0010-0000-0100-00001D000000}" name="学费原币"/>
    <tableColumn id="30" xr3:uid="{00000000-0010-0000-0100-00001E000000}" name="住宿RMB"/>
    <tableColumn id="31" xr3:uid="{00000000-0010-0000-0100-00001F000000}" name="住宿原币"/>
    <tableColumn id="32" xr3:uid="{00000000-0010-0000-0100-000020000000}" name="饮食RMB"/>
    <tableColumn id="33" xr3:uid="{00000000-0010-0000-0100-000021000000}" name="饮食原币"/>
    <tableColumn id="34" xr3:uid="{00000000-0010-0000-0100-000022000000}" name="通勤RMB"/>
    <tableColumn id="35" xr3:uid="{00000000-0010-0000-0100-000023000000}" name="通勤原币"/>
    <tableColumn id="36" xr3:uid="{00000000-0010-0000-0100-000024000000}" name="日常RMB"/>
    <tableColumn id="37" xr3:uid="{00000000-0010-0000-0100-000025000000}" name="日常原币"/>
    <tableColumn id="38" xr3:uid="{00000000-0010-0000-0100-000026000000}" name="签证保险RMB"/>
    <tableColumn id="39" xr3:uid="{00000000-0010-0000-0100-000027000000}" name="签证保险原币"/>
    <tableColumn id="40" xr3:uid="{00000000-0010-0000-0100-000028000000}" name="教材其他强制RMB"/>
    <tableColumn id="41" xr3:uid="{00000000-0010-0000-0100-000029000000}" name="教材其他强制原币"/>
    <tableColumn id="42" xr3:uid="{00000000-0010-0000-0100-00002A000000}" name="往返交通RMB"/>
    <tableColumn id="43" xr3:uid="{00000000-0010-0000-0100-00002B000000}" name="往返交通原币"/>
    <tableColumn id="44" xr3:uid="{00000000-0010-0000-0100-00002C000000}" name="未奖总成本RMB"/>
    <tableColumn id="45" xr3:uid="{00000000-0010-0000-0100-00002D000000}" name="未奖总成本原币"/>
    <tableColumn id="46" xr3:uid="{00000000-0010-0000-0100-00002E000000}" name="总成本万元"/>
    <tableColumn id="47" xr3:uid="{00000000-0010-0000-0100-00002F000000}" name="奖学金RMB"/>
    <tableColumn id="48" xr3:uid="{00000000-0010-0000-0100-000030000000}" name="奖学金原币"/>
    <tableColumn id="49" xr3:uid="{00000000-0010-0000-0100-000031000000}" name="奖学金状态"/>
    <tableColumn id="50" xr3:uid="{00000000-0010-0000-0100-000032000000}" name="是否有奖学金"/>
    <tableColumn id="51" xr3:uid="{00000000-0010-0000-0100-000033000000}" name="是否自动审核奖学金"/>
    <tableColumn id="52" xr3:uid="{00000000-0010-0000-0100-000034000000}" name="奖学金竞争度"/>
    <tableColumn id="53" xr3:uid="{00000000-0010-0000-0100-000035000000}" name="奖后总成本RMB"/>
    <tableColumn id="54" xr3:uid="{00000000-0010-0000-0100-000036000000}" name="奖后总成本原币"/>
    <tableColumn id="55" xr3:uid="{00000000-0010-0000-0100-000037000000}" name="与40万元差额RMB"/>
    <tableColumn id="56" xr3:uid="{00000000-0010-0000-0100-000038000000}" name="预算状态"/>
    <tableColumn id="57" xr3:uid="{00000000-0010-0000-0100-000039000000}" name="数据日期"/>
    <tableColumn id="58" xr3:uid="{00000000-0010-0000-0100-00003A000000}" name="项目官网" dataCellStyle="超链接"/>
    <tableColumn id="59" xr3:uid="{00000000-0010-0000-0100-00003B000000}" name="学费来源" dataCellStyle="超链接"/>
    <tableColumn id="60" xr3:uid="{00000000-0010-0000-0100-00003C000000}" name="申请要求来源" dataCellStyle="超链接"/>
    <tableColumn id="61" xr3:uid="{00000000-0010-0000-0100-00003D000000}" name="奖学金来源"/>
    <tableColumn id="62" xr3:uid="{00000000-0010-0000-0100-00003E000000}" name="生活费来源" dataCellStyle="超链接"/>
    <tableColumn id="63" xr3:uid="{00000000-0010-0000-0100-00003F000000}" name="备注/冲突"/>
    <tableColumn id="64" xr3:uid="{00000000-0010-0000-0100-000040000000}" name="人工复核"/>
    <tableColumn id="65" xr3:uid="{00000000-0010-0000-0100-000041000000}" name="去重键"/>
    <tableColumn id="66" xr3:uid="{00000000-0010-0000-0100-000042000000}" name="大学首次计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KPrograms" displayName="UKPrograms" ref="A16:BN24" totalsRowShown="0">
  <autoFilter ref="A16:BN24" xr:uid="{00000000-0009-0000-0100-000003000000}"/>
  <tableColumns count="66">
    <tableColumn id="1" xr3:uid="{00000000-0010-0000-0200-000001000000}" name="国家/地区"/>
    <tableColumn id="2" xr3:uid="{00000000-0010-0000-0200-000002000000}" name="大学"/>
    <tableColumn id="3" xr3:uid="{00000000-0010-0000-0200-000003000000}" name="大学简称"/>
    <tableColumn id="4" xr3:uid="{00000000-0010-0000-0200-000004000000}" name="城市"/>
    <tableColumn id="5" xr3:uid="{00000000-0010-0000-0200-000005000000}" name="专业名称"/>
    <tableColumn id="6" xr3:uid="{00000000-0010-0000-0200-000006000000}" name="专业简称"/>
    <tableColumn id="7" xr3:uid="{00000000-0010-0000-0200-000007000000}" name="专业类别"/>
    <tableColumn id="8" xr3:uid="{00000000-0010-0000-0200-000008000000}" name="学位类型"/>
    <tableColumn id="9" xr3:uid="{00000000-0010-0000-0200-000009000000}" name="学制"/>
    <tableColumn id="10" xr3:uid="{00000000-0010-0000-0200-00000A000000}" name="学制月数"/>
    <tableColumn id="11" xr3:uid="{00000000-0010-0000-0200-00000B000000}" name="学习模式"/>
    <tableColumn id="12" xr3:uid="{00000000-0010-0000-0200-00000C000000}" name="总学分"/>
    <tableColumn id="13" xr3:uid="{00000000-0010-0000-0200-00000D000000}" name="必修/选修"/>
    <tableColumn id="14" xr3:uid="{00000000-0010-0000-0200-00000E000000}" name="论文/Capstone"/>
    <tableColumn id="15" xr3:uid="{00000000-0010-0000-0200-00000F000000}" name="最低毕业成绩/最长修读"/>
    <tableColumn id="16" xr3:uid="{00000000-0010-0000-0200-000010000000}" name="申请年度/入学时间"/>
    <tableColumn id="17" xr3:uid="{00000000-0010-0000-0200-000011000000}" name="申请截止"/>
    <tableColumn id="18" xr3:uid="{00000000-0010-0000-0200-000012000000}" name="本科要求"/>
    <tableColumn id="19" xr3:uid="{00000000-0010-0000-0200-000013000000}" name="雅思要求"/>
    <tableColumn id="20" xr3:uid="{00000000-0010-0000-0200-000014000000}" name="接受六级"/>
    <tableColumn id="21" xr3:uid="{00000000-0010-0000-0200-000015000000}" name="GMAT/GRE"/>
    <tableColumn id="22" xr3:uid="{00000000-0010-0000-0200-000016000000}" name="接受经济学本科"/>
    <tableColumn id="23" xr3:uid="{00000000-0010-0000-0200-000017000000}" name="接受非法学背景"/>
    <tableColumn id="24" xr3:uid="{00000000-0010-0000-0200-000018000000}" name="申请定位"/>
    <tableColumn id="25" xr3:uid="{00000000-0010-0000-0200-000019000000}" name="综合推荐分"/>
    <tableColumn id="26" xr3:uid="{00000000-0010-0000-0200-00001A000000}" name="建议申请优先级"/>
    <tableColumn id="27" xr3:uid="{00000000-0010-0000-0200-00001B000000}" name="是否主推荐"/>
    <tableColumn id="28" xr3:uid="{00000000-0010-0000-0200-00001C000000}" name="学费RMB"/>
    <tableColumn id="29" xr3:uid="{00000000-0010-0000-0200-00001D000000}" name="学费原币"/>
    <tableColumn id="30" xr3:uid="{00000000-0010-0000-0200-00001E000000}" name="住宿RMB"/>
    <tableColumn id="31" xr3:uid="{00000000-0010-0000-0200-00001F000000}" name="住宿原币"/>
    <tableColumn id="32" xr3:uid="{00000000-0010-0000-0200-000020000000}" name="饮食RMB"/>
    <tableColumn id="33" xr3:uid="{00000000-0010-0000-0200-000021000000}" name="饮食原币"/>
    <tableColumn id="34" xr3:uid="{00000000-0010-0000-0200-000022000000}" name="通勤RMB"/>
    <tableColumn id="35" xr3:uid="{00000000-0010-0000-0200-000023000000}" name="通勤原币"/>
    <tableColumn id="36" xr3:uid="{00000000-0010-0000-0200-000024000000}" name="日常RMB"/>
    <tableColumn id="37" xr3:uid="{00000000-0010-0000-0200-000025000000}" name="日常原币"/>
    <tableColumn id="38" xr3:uid="{00000000-0010-0000-0200-000026000000}" name="签证保险RMB"/>
    <tableColumn id="39" xr3:uid="{00000000-0010-0000-0200-000027000000}" name="签证保险原币"/>
    <tableColumn id="40" xr3:uid="{00000000-0010-0000-0200-000028000000}" name="教材其他强制RMB"/>
    <tableColumn id="41" xr3:uid="{00000000-0010-0000-0200-000029000000}" name="教材其他强制原币"/>
    <tableColumn id="42" xr3:uid="{00000000-0010-0000-0200-00002A000000}" name="往返交通RMB"/>
    <tableColumn id="43" xr3:uid="{00000000-0010-0000-0200-00002B000000}" name="往返交通原币"/>
    <tableColumn id="44" xr3:uid="{00000000-0010-0000-0200-00002C000000}" name="未奖总成本RMB"/>
    <tableColumn id="45" xr3:uid="{00000000-0010-0000-0200-00002D000000}" name="未奖总成本原币"/>
    <tableColumn id="46" xr3:uid="{00000000-0010-0000-0200-00002E000000}" name="总成本万元"/>
    <tableColumn id="47" xr3:uid="{00000000-0010-0000-0200-00002F000000}" name="奖学金RMB"/>
    <tableColumn id="48" xr3:uid="{00000000-0010-0000-0200-000030000000}" name="奖学金原币"/>
    <tableColumn id="49" xr3:uid="{00000000-0010-0000-0200-000031000000}" name="奖学金状态"/>
    <tableColumn id="50" xr3:uid="{00000000-0010-0000-0200-000032000000}" name="是否有奖学金"/>
    <tableColumn id="51" xr3:uid="{00000000-0010-0000-0200-000033000000}" name="是否自动审核奖学金"/>
    <tableColumn id="52" xr3:uid="{00000000-0010-0000-0200-000034000000}" name="奖学金竞争度"/>
    <tableColumn id="53" xr3:uid="{00000000-0010-0000-0200-000035000000}" name="奖后总成本RMB"/>
    <tableColumn id="54" xr3:uid="{00000000-0010-0000-0200-000036000000}" name="奖后总成本原币"/>
    <tableColumn id="55" xr3:uid="{00000000-0010-0000-0200-000037000000}" name="与40万元差额RMB"/>
    <tableColumn id="56" xr3:uid="{00000000-0010-0000-0200-000038000000}" name="预算状态"/>
    <tableColumn id="57" xr3:uid="{00000000-0010-0000-0200-000039000000}" name="数据日期"/>
    <tableColumn id="58" xr3:uid="{00000000-0010-0000-0200-00003A000000}" name="项目官网"/>
    <tableColumn id="59" xr3:uid="{00000000-0010-0000-0200-00003B000000}" name="学费来源"/>
    <tableColumn id="60" xr3:uid="{00000000-0010-0000-0200-00003C000000}" name="申请要求来源"/>
    <tableColumn id="61" xr3:uid="{00000000-0010-0000-0200-00003D000000}" name="奖学金来源"/>
    <tableColumn id="62" xr3:uid="{00000000-0010-0000-0200-00003E000000}" name="生活费来源"/>
    <tableColumn id="63" xr3:uid="{00000000-0010-0000-0200-00003F000000}" name="备注/冲突"/>
    <tableColumn id="64" xr3:uid="{00000000-0010-0000-0200-000040000000}" name="人工复核"/>
    <tableColumn id="65" xr3:uid="{00000000-0010-0000-0200-000041000000}" name="去重键"/>
    <tableColumn id="66" xr3:uid="{00000000-0010-0000-0200-000042000000}" name="大学首次计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ZPrograms" displayName="NZPrograms" ref="A16:BN23" totalsRowShown="0">
  <autoFilter ref="A16:BN23" xr:uid="{00000000-0009-0000-0100-000004000000}"/>
  <tableColumns count="66">
    <tableColumn id="1" xr3:uid="{00000000-0010-0000-0300-000001000000}" name="国家/地区"/>
    <tableColumn id="2" xr3:uid="{00000000-0010-0000-0300-000002000000}" name="大学"/>
    <tableColumn id="3" xr3:uid="{00000000-0010-0000-0300-000003000000}" name="大学简称"/>
    <tableColumn id="4" xr3:uid="{00000000-0010-0000-0300-000004000000}" name="城市"/>
    <tableColumn id="5" xr3:uid="{00000000-0010-0000-0300-000005000000}" name="专业名称"/>
    <tableColumn id="6" xr3:uid="{00000000-0010-0000-0300-000006000000}" name="专业简称"/>
    <tableColumn id="7" xr3:uid="{00000000-0010-0000-0300-000007000000}" name="专业类别"/>
    <tableColumn id="8" xr3:uid="{00000000-0010-0000-0300-000008000000}" name="学位类型"/>
    <tableColumn id="9" xr3:uid="{00000000-0010-0000-0300-000009000000}" name="学制"/>
    <tableColumn id="10" xr3:uid="{00000000-0010-0000-0300-00000A000000}" name="学制月数"/>
    <tableColumn id="11" xr3:uid="{00000000-0010-0000-0300-00000B000000}" name="学习模式"/>
    <tableColumn id="12" xr3:uid="{00000000-0010-0000-0300-00000C000000}" name="总学分"/>
    <tableColumn id="13" xr3:uid="{00000000-0010-0000-0300-00000D000000}" name="必修/选修"/>
    <tableColumn id="14" xr3:uid="{00000000-0010-0000-0300-00000E000000}" name="论文/Capstone"/>
    <tableColumn id="15" xr3:uid="{00000000-0010-0000-0300-00000F000000}" name="最低毕业成绩/最长修读"/>
    <tableColumn id="16" xr3:uid="{00000000-0010-0000-0300-000010000000}" name="申请年度/入学时间"/>
    <tableColumn id="17" xr3:uid="{00000000-0010-0000-0300-000011000000}" name="申请截止"/>
    <tableColumn id="18" xr3:uid="{00000000-0010-0000-0300-000012000000}" name="本科要求"/>
    <tableColumn id="19" xr3:uid="{00000000-0010-0000-0300-000013000000}" name="雅思要求"/>
    <tableColumn id="20" xr3:uid="{00000000-0010-0000-0300-000014000000}" name="接受六级"/>
    <tableColumn id="21" xr3:uid="{00000000-0010-0000-0300-000015000000}" name="GMAT/GRE"/>
    <tableColumn id="22" xr3:uid="{00000000-0010-0000-0300-000016000000}" name="接受经济学本科"/>
    <tableColumn id="23" xr3:uid="{00000000-0010-0000-0300-000017000000}" name="接受非法学背景"/>
    <tableColumn id="24" xr3:uid="{00000000-0010-0000-0300-000018000000}" name="申请定位"/>
    <tableColumn id="25" xr3:uid="{00000000-0010-0000-0300-000019000000}" name="综合推荐分"/>
    <tableColumn id="26" xr3:uid="{00000000-0010-0000-0300-00001A000000}" name="建议申请优先级"/>
    <tableColumn id="27" xr3:uid="{00000000-0010-0000-0300-00001B000000}" name="是否主推荐"/>
    <tableColumn id="28" xr3:uid="{00000000-0010-0000-0300-00001C000000}" name="学费RMB"/>
    <tableColumn id="29" xr3:uid="{00000000-0010-0000-0300-00001D000000}" name="学费原币"/>
    <tableColumn id="30" xr3:uid="{00000000-0010-0000-0300-00001E000000}" name="住宿RMB"/>
    <tableColumn id="31" xr3:uid="{00000000-0010-0000-0300-00001F000000}" name="住宿原币"/>
    <tableColumn id="32" xr3:uid="{00000000-0010-0000-0300-000020000000}" name="饮食RMB"/>
    <tableColumn id="33" xr3:uid="{00000000-0010-0000-0300-000021000000}" name="饮食原币"/>
    <tableColumn id="34" xr3:uid="{00000000-0010-0000-0300-000022000000}" name="通勤RMB"/>
    <tableColumn id="35" xr3:uid="{00000000-0010-0000-0300-000023000000}" name="通勤原币"/>
    <tableColumn id="36" xr3:uid="{00000000-0010-0000-0300-000024000000}" name="日常RMB"/>
    <tableColumn id="37" xr3:uid="{00000000-0010-0000-0300-000025000000}" name="日常原币"/>
    <tableColumn id="38" xr3:uid="{00000000-0010-0000-0300-000026000000}" name="签证保险RMB"/>
    <tableColumn id="39" xr3:uid="{00000000-0010-0000-0300-000027000000}" name="签证保险原币"/>
    <tableColumn id="40" xr3:uid="{00000000-0010-0000-0300-000028000000}" name="教材其他强制RMB"/>
    <tableColumn id="41" xr3:uid="{00000000-0010-0000-0300-000029000000}" name="教材其他强制原币"/>
    <tableColumn id="42" xr3:uid="{00000000-0010-0000-0300-00002A000000}" name="往返交通RMB"/>
    <tableColumn id="43" xr3:uid="{00000000-0010-0000-0300-00002B000000}" name="往返交通原币"/>
    <tableColumn id="44" xr3:uid="{00000000-0010-0000-0300-00002C000000}" name="未奖总成本RMB"/>
    <tableColumn id="45" xr3:uid="{00000000-0010-0000-0300-00002D000000}" name="未奖总成本原币"/>
    <tableColumn id="46" xr3:uid="{00000000-0010-0000-0300-00002E000000}" name="总成本万元"/>
    <tableColumn id="47" xr3:uid="{00000000-0010-0000-0300-00002F000000}" name="奖学金RMB"/>
    <tableColumn id="48" xr3:uid="{00000000-0010-0000-0300-000030000000}" name="奖学金原币"/>
    <tableColumn id="49" xr3:uid="{00000000-0010-0000-0300-000031000000}" name="奖学金状态"/>
    <tableColumn id="50" xr3:uid="{00000000-0010-0000-0300-000032000000}" name="是否有奖学金"/>
    <tableColumn id="51" xr3:uid="{00000000-0010-0000-0300-000033000000}" name="是否自动审核奖学金"/>
    <tableColumn id="52" xr3:uid="{00000000-0010-0000-0300-000034000000}" name="奖学金竞争度"/>
    <tableColumn id="53" xr3:uid="{00000000-0010-0000-0300-000035000000}" name="奖后总成本RMB"/>
    <tableColumn id="54" xr3:uid="{00000000-0010-0000-0300-000036000000}" name="奖后总成本原币"/>
    <tableColumn id="55" xr3:uid="{00000000-0010-0000-0300-000037000000}" name="与40万元差额RMB"/>
    <tableColumn id="56" xr3:uid="{00000000-0010-0000-0300-000038000000}" name="预算状态"/>
    <tableColumn id="57" xr3:uid="{00000000-0010-0000-0300-000039000000}" name="数据日期"/>
    <tableColumn id="58" xr3:uid="{00000000-0010-0000-0300-00003A000000}" name="项目官网"/>
    <tableColumn id="59" xr3:uid="{00000000-0010-0000-0300-00003B000000}" name="学费来源"/>
    <tableColumn id="60" xr3:uid="{00000000-0010-0000-0300-00003C000000}" name="申请要求来源"/>
    <tableColumn id="61" xr3:uid="{00000000-0010-0000-0300-00003D000000}" name="奖学金来源"/>
    <tableColumn id="62" xr3:uid="{00000000-0010-0000-0300-00003E000000}" name="生活费来源"/>
    <tableColumn id="63" xr3:uid="{00000000-0010-0000-0300-00003F000000}" name="备注/冲突"/>
    <tableColumn id="64" xr3:uid="{00000000-0010-0000-0300-000040000000}" name="人工复核"/>
    <tableColumn id="65" xr3:uid="{00000000-0010-0000-0300-000041000000}" name="去重键"/>
    <tableColumn id="66" xr3:uid="{00000000-0010-0000-0300-000042000000}" name="大学首次计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ssions.hku.hk/fees-and-scholarships/fees" TargetMode="External"/><Relationship Id="rId13" Type="http://schemas.openxmlformats.org/officeDocument/2006/relationships/hyperlink" Target="https://prog-crs.hkust.edu.hk/pgprog/2026-27/msc-econ" TargetMode="External"/><Relationship Id="rId18" Type="http://schemas.openxmlformats.org/officeDocument/2006/relationships/hyperlink" Target="https://www.polyu.edu.hk/study/pg/tpg/2026/21055-aem-dem" TargetMode="External"/><Relationship Id="rId26" Type="http://schemas.openxmlformats.org/officeDocument/2006/relationships/hyperlink" Target="https://masters.hkubs.hku.hk/admissions/" TargetMode="External"/><Relationship Id="rId3" Type="http://schemas.openxmlformats.org/officeDocument/2006/relationships/hyperlink" Target="https://ar.hkbu.edu.hk/tpg-admissions/programmes/master-of-science-msc-in-applied-economics" TargetMode="External"/><Relationship Id="rId21" Type="http://schemas.openxmlformats.org/officeDocument/2006/relationships/hyperlink" Target="https://www.polyu.edu.hk/study/pg/tpg/2026/21055-aem-dem" TargetMode="External"/><Relationship Id="rId7" Type="http://schemas.openxmlformats.org/officeDocument/2006/relationships/hyperlink" Target="https://www.cityu.edu.hk/pg/programme/program-list/2026/college-of-business/department-of-economics-and-finance/p13" TargetMode="External"/><Relationship Id="rId12" Type="http://schemas.openxmlformats.org/officeDocument/2006/relationships/hyperlink" Target="https://admissions.hku.hk/fees-and-scholarships/fees" TargetMode="External"/><Relationship Id="rId17" Type="http://schemas.openxmlformats.org/officeDocument/2006/relationships/hyperlink" Target="https://admissions.hku.hk/fees-and-scholarships/fees" TargetMode="External"/><Relationship Id="rId25" Type="http://schemas.openxmlformats.org/officeDocument/2006/relationships/hyperlink" Target="https://masters.hkubs.hku.hk/admissions/" TargetMode="External"/><Relationship Id="rId2" Type="http://schemas.openxmlformats.org/officeDocument/2006/relationships/hyperlink" Target="https://ar.hkbu.edu.hk/tpg-admissions/programmes/master-of-science-msc-in-applied-economics" TargetMode="External"/><Relationship Id="rId16" Type="http://schemas.openxmlformats.org/officeDocument/2006/relationships/hyperlink" Target="https://mscecon.hkust.edu.hk/news/priority-round-msc-programs-202728-intake-apply-early-and-get-ahead" TargetMode="External"/><Relationship Id="rId20" Type="http://schemas.openxmlformats.org/officeDocument/2006/relationships/hyperlink" Target="https://www.polyu.edu.hk/study/pg/tpg/2026/21055-aem-dem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ar.hkbu.edu.hk/tpg-admissions/programmes/master-of-science-msc-in-applied-economics" TargetMode="External"/><Relationship Id="rId6" Type="http://schemas.openxmlformats.org/officeDocument/2006/relationships/hyperlink" Target="https://www.cityu.edu.hk/sgs/files/fees/tpg/P13/index.htm" TargetMode="External"/><Relationship Id="rId11" Type="http://schemas.openxmlformats.org/officeDocument/2006/relationships/hyperlink" Target="https://admission.econ.cuhk.edu.hk/pg/master-economics/" TargetMode="External"/><Relationship Id="rId24" Type="http://schemas.openxmlformats.org/officeDocument/2006/relationships/hyperlink" Target="https://masters.hkubs.hku.hk/admissions/" TargetMode="External"/><Relationship Id="rId5" Type="http://schemas.openxmlformats.org/officeDocument/2006/relationships/hyperlink" Target="https://www.cityu.edu.hk/pg/programme/program-list/2026/college-of-business/department-of-economics-and-finance/p13" TargetMode="External"/><Relationship Id="rId15" Type="http://schemas.openxmlformats.org/officeDocument/2006/relationships/hyperlink" Target="https://prog-crs.hkust.edu.hk/pgprog/2026-27/msc-econ" TargetMode="External"/><Relationship Id="rId23" Type="http://schemas.openxmlformats.org/officeDocument/2006/relationships/hyperlink" Target="https://masters.hkubs.hku.hk/admissions/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gs.cuhk.edu.hk/programmes/social-science/msc-economics" TargetMode="External"/><Relationship Id="rId19" Type="http://schemas.openxmlformats.org/officeDocument/2006/relationships/hyperlink" Target="https://www.polyu.edu.hk/study/pg/tpg/2026/21055-aem-dem" TargetMode="External"/><Relationship Id="rId4" Type="http://schemas.openxmlformats.org/officeDocument/2006/relationships/hyperlink" Target="https://admissions.hku.hk/fees-and-scholarships/fees" TargetMode="External"/><Relationship Id="rId9" Type="http://schemas.openxmlformats.org/officeDocument/2006/relationships/hyperlink" Target="https://admission.econ.cuhk.edu.hk/pg/master-economics/" TargetMode="External"/><Relationship Id="rId14" Type="http://schemas.openxmlformats.org/officeDocument/2006/relationships/hyperlink" Target="https://mscecon.hkust.edu.hk/node/140" TargetMode="External"/><Relationship Id="rId22" Type="http://schemas.openxmlformats.org/officeDocument/2006/relationships/hyperlink" Target="https://admissions.hku.hk/fees-and-scholarships/fees" TargetMode="External"/><Relationship Id="rId27" Type="http://schemas.openxmlformats.org/officeDocument/2006/relationships/hyperlink" Target="https://admissions.hku.hk/fees-and-scholarships/fee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of.cityu.edu.mo/en/masterofscienceinfinance" TargetMode="External"/><Relationship Id="rId2" Type="http://schemas.openxmlformats.org/officeDocument/2006/relationships/hyperlink" Target="https://www.must.edu.mo/images/pdf/MasterFT_Non_Macao_residents_en.pdf" TargetMode="External"/><Relationship Id="rId1" Type="http://schemas.openxmlformats.org/officeDocument/2006/relationships/hyperlink" Target="https://econ.fss.um.edu.mo/master/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hyperlink" Target="https://rc.um.edu.mo/rc-cost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xeter.ac.uk/study/funding/award/?id=5507" TargetMode="External"/><Relationship Id="rId18" Type="http://schemas.openxmlformats.org/officeDocument/2006/relationships/hyperlink" Target="https://sheffield.ac.uk/international/fees-and-funding/scholarships/postgraduate" TargetMode="External"/><Relationship Id="rId26" Type="http://schemas.openxmlformats.org/officeDocument/2006/relationships/hyperlink" Target="https://www.nottingham.ac.uk/pgstudy/course/taught/Economics-MSc" TargetMode="External"/><Relationship Id="rId39" Type="http://schemas.openxmlformats.org/officeDocument/2006/relationships/hyperlink" Target="https://www.gov.uk/student-visa/money" TargetMode="External"/><Relationship Id="rId21" Type="http://schemas.openxmlformats.org/officeDocument/2006/relationships/hyperlink" Target="https://courses.leeds.ac.uk/f922/economics-msc" TargetMode="External"/><Relationship Id="rId34" Type="http://schemas.openxmlformats.org/officeDocument/2006/relationships/hyperlink" Target="https://www.gov.uk/student-visa/money" TargetMode="External"/><Relationship Id="rId7" Type="http://schemas.openxmlformats.org/officeDocument/2006/relationships/hyperlink" Target="https://www.qub.ac.uk/courses/postgraduate-taught/international-political-economy-msc/" TargetMode="External"/><Relationship Id="rId2" Type="http://schemas.openxmlformats.org/officeDocument/2006/relationships/hyperlink" Target="https://www.york.ac.uk/study/postgraduate-taught/courses/msc-economics/" TargetMode="External"/><Relationship Id="rId16" Type="http://schemas.openxmlformats.org/officeDocument/2006/relationships/hyperlink" Target="https://sheffield.ac.uk/postgraduate/taught/courses/2026/economics-msc" TargetMode="External"/><Relationship Id="rId20" Type="http://schemas.openxmlformats.org/officeDocument/2006/relationships/hyperlink" Target="https://courses.leeds.ac.uk/f922/economics-msc" TargetMode="External"/><Relationship Id="rId29" Type="http://schemas.openxmlformats.org/officeDocument/2006/relationships/hyperlink" Target="https://www.gov.uk/student-visa/money" TargetMode="External"/><Relationship Id="rId41" Type="http://schemas.openxmlformats.org/officeDocument/2006/relationships/table" Target="../tables/table3.xml"/><Relationship Id="rId1" Type="http://schemas.openxmlformats.org/officeDocument/2006/relationships/hyperlink" Target="https://www.york.ac.uk/study/postgraduate-taught/courses/msc-economics/" TargetMode="External"/><Relationship Id="rId6" Type="http://schemas.openxmlformats.org/officeDocument/2006/relationships/hyperlink" Target="https://www.qub.ac.uk/courses/postgraduate-taught/international-political-economy-msc/" TargetMode="External"/><Relationship Id="rId11" Type="http://schemas.openxmlformats.org/officeDocument/2006/relationships/hyperlink" Target="https://www.exeter.ac.uk/masters-degrees/msc-economics/" TargetMode="External"/><Relationship Id="rId24" Type="http://schemas.openxmlformats.org/officeDocument/2006/relationships/hyperlink" Target="https://www.gov.uk/student-visa/money" TargetMode="External"/><Relationship Id="rId32" Type="http://schemas.openxmlformats.org/officeDocument/2006/relationships/hyperlink" Target="https://www.birmingham.ac.uk/study/postgraduate/subjects/business-and-management-courses/economics-msc" TargetMode="External"/><Relationship Id="rId37" Type="http://schemas.openxmlformats.org/officeDocument/2006/relationships/hyperlink" Target="https://www.gla.ac.uk/postgraduate/taught/economics-msc/" TargetMode="External"/><Relationship Id="rId40" Type="http://schemas.openxmlformats.org/officeDocument/2006/relationships/drawing" Target="../drawings/drawing3.xml"/><Relationship Id="rId5" Type="http://schemas.openxmlformats.org/officeDocument/2006/relationships/hyperlink" Target="https://www.gov.uk/student-visa/money" TargetMode="External"/><Relationship Id="rId15" Type="http://schemas.openxmlformats.org/officeDocument/2006/relationships/hyperlink" Target="https://sheffield.ac.uk/postgraduate/taught/courses/2026/economics-msc" TargetMode="External"/><Relationship Id="rId23" Type="http://schemas.openxmlformats.org/officeDocument/2006/relationships/hyperlink" Target="https://business.leeds.ac.uk/directory/lubs-scholarships" TargetMode="External"/><Relationship Id="rId28" Type="http://schemas.openxmlformats.org/officeDocument/2006/relationships/hyperlink" Target="https://www.nottingham.ac.uk/pgstudy/funding/international-scholarships" TargetMode="External"/><Relationship Id="rId36" Type="http://schemas.openxmlformats.org/officeDocument/2006/relationships/hyperlink" Target="https://www.gla.ac.uk/postgraduate/taught/economics-msc/" TargetMode="External"/><Relationship Id="rId10" Type="http://schemas.openxmlformats.org/officeDocument/2006/relationships/hyperlink" Target="https://www.exeter.ac.uk/masters-degrees/msc-economics/" TargetMode="External"/><Relationship Id="rId19" Type="http://schemas.openxmlformats.org/officeDocument/2006/relationships/hyperlink" Target="https://www.gov.uk/student-visa/money" TargetMode="External"/><Relationship Id="rId31" Type="http://schemas.openxmlformats.org/officeDocument/2006/relationships/hyperlink" Target="https://www.birmingham.ac.uk/study/postgraduate/subjects/business-and-management-courses/economics-msc?location=Singapore" TargetMode="External"/><Relationship Id="rId4" Type="http://schemas.openxmlformats.org/officeDocument/2006/relationships/hyperlink" Target="https://www.york.ac.uk/economics/study/postgraduate-taught/funding/" TargetMode="External"/><Relationship Id="rId9" Type="http://schemas.openxmlformats.org/officeDocument/2006/relationships/hyperlink" Target="https://www.gov.uk/student-visa/money" TargetMode="External"/><Relationship Id="rId14" Type="http://schemas.openxmlformats.org/officeDocument/2006/relationships/hyperlink" Target="https://www.gov.uk/student-visa/money" TargetMode="External"/><Relationship Id="rId22" Type="http://schemas.openxmlformats.org/officeDocument/2006/relationships/hyperlink" Target="https://courses.leeds.ac.uk/f922/economics-msc" TargetMode="External"/><Relationship Id="rId27" Type="http://schemas.openxmlformats.org/officeDocument/2006/relationships/hyperlink" Target="https://www.nottingham.ac.uk/pgstudy/course/taught/Economics-MSc" TargetMode="External"/><Relationship Id="rId30" Type="http://schemas.openxmlformats.org/officeDocument/2006/relationships/hyperlink" Target="https://www.birmingham.ac.uk/study/postgraduate/subjects/business-and-management-courses/economics-msc" TargetMode="External"/><Relationship Id="rId35" Type="http://schemas.openxmlformats.org/officeDocument/2006/relationships/hyperlink" Target="https://www.gla.ac.uk/postgraduate/taught/economics-msc/" TargetMode="External"/><Relationship Id="rId8" Type="http://schemas.openxmlformats.org/officeDocument/2006/relationships/hyperlink" Target="https://www.qub.ac.uk/courses/postgraduate-taught/international-political-economy-msc/" TargetMode="External"/><Relationship Id="rId3" Type="http://schemas.openxmlformats.org/officeDocument/2006/relationships/hyperlink" Target="https://www.york.ac.uk/study/postgraduate-taught/courses/msc-economics/" TargetMode="External"/><Relationship Id="rId12" Type="http://schemas.openxmlformats.org/officeDocument/2006/relationships/hyperlink" Target="https://www.exeter.ac.uk/masters-degrees/msc-economics/" TargetMode="External"/><Relationship Id="rId17" Type="http://schemas.openxmlformats.org/officeDocument/2006/relationships/hyperlink" Target="https://sheffield.ac.uk/postgraduate/taught/courses/2026/economics-msc" TargetMode="External"/><Relationship Id="rId25" Type="http://schemas.openxmlformats.org/officeDocument/2006/relationships/hyperlink" Target="https://www.nottingham.ac.uk/pgstudy/course/taught/Economics-MSc" TargetMode="External"/><Relationship Id="rId33" Type="http://schemas.openxmlformats.org/officeDocument/2006/relationships/hyperlink" Target="https://www.birmingham.ac.uk/study/postgraduate/fees-funding/scholarships" TargetMode="External"/><Relationship Id="rId38" Type="http://schemas.openxmlformats.org/officeDocument/2006/relationships/hyperlink" Target="https://www.gla.ac.uk/scholarships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tago.ac.nz/study/qualifications/master-of-business?subject=575964" TargetMode="External"/><Relationship Id="rId18" Type="http://schemas.openxmlformats.org/officeDocument/2006/relationships/hyperlink" Target="https://www.lincoln.ac.nz/study/study-programmes/programme-search/master-of-business-finance/" TargetMode="External"/><Relationship Id="rId26" Type="http://schemas.openxmlformats.org/officeDocument/2006/relationships/hyperlink" Target="https://www.aut.ac.nz/study/study-options/business/courses/master-of-applied-finance" TargetMode="External"/><Relationship Id="rId3" Type="http://schemas.openxmlformats.org/officeDocument/2006/relationships/hyperlink" Target="https://www.waikato.ac.nz/int/study/qualifications/master-of-applied-finance/" TargetMode="External"/><Relationship Id="rId21" Type="http://schemas.openxmlformats.org/officeDocument/2006/relationships/hyperlink" Target="https://www.massey.ac.nz/study/fees-and-funding/tuition-fees-for-international-students/" TargetMode="External"/><Relationship Id="rId34" Type="http://schemas.openxmlformats.org/officeDocument/2006/relationships/hyperlink" Target="https://www.immigration.govt.nz/visas/fee-paying-student-visa/" TargetMode="External"/><Relationship Id="rId7" Type="http://schemas.openxmlformats.org/officeDocument/2006/relationships/hyperlink" Target="https://www.canterbury.ac.nz/study/getting-started/study-and-living-costs/study-costs/international-tuition-fees" TargetMode="External"/><Relationship Id="rId12" Type="http://schemas.openxmlformats.org/officeDocument/2006/relationships/hyperlink" Target="https://www.otago.ac.nz/study/fees/international-tuition-fees/business-school" TargetMode="External"/><Relationship Id="rId17" Type="http://schemas.openxmlformats.org/officeDocument/2006/relationships/hyperlink" Target="https://www.lincoln.ac.nz/study/study-programmes/programme-search/master-of-business-finance/" TargetMode="External"/><Relationship Id="rId25" Type="http://schemas.openxmlformats.org/officeDocument/2006/relationships/hyperlink" Target="https://www.aut.ac.nz/study/study-options/business/courses/master-of-applied-finance" TargetMode="External"/><Relationship Id="rId33" Type="http://schemas.openxmlformats.org/officeDocument/2006/relationships/hyperlink" Target="https://www.auckland.ac.nz/en/study/scholarships-and-awards/find-a-scholarship/university-of-auckland-international-business-masters-scholarship-704-bande.html?hl=en-US" TargetMode="External"/><Relationship Id="rId2" Type="http://schemas.openxmlformats.org/officeDocument/2006/relationships/hyperlink" Target="https://www.waikato.ac.nz/int/study/fees-costs/international-tuition-costs/" TargetMode="External"/><Relationship Id="rId16" Type="http://schemas.openxmlformats.org/officeDocument/2006/relationships/hyperlink" Target="https://www.lincoln.ac.nz/study/study-programmes/programme-search/master-of-business-finance/" TargetMode="External"/><Relationship Id="rId20" Type="http://schemas.openxmlformats.org/officeDocument/2006/relationships/hyperlink" Target="https://www.massey.ac.nz/study/all-qualifications-and-degrees/master-of-finance-PMFNN/" TargetMode="External"/><Relationship Id="rId29" Type="http://schemas.openxmlformats.org/officeDocument/2006/relationships/hyperlink" Target="https://www.immigration.govt.nz/visas/fee-paying-student-visa/" TargetMode="External"/><Relationship Id="rId1" Type="http://schemas.openxmlformats.org/officeDocument/2006/relationships/hyperlink" Target="https://www.waikato.ac.nz/int/study/qualifications/master-of-applied-finance/" TargetMode="External"/><Relationship Id="rId6" Type="http://schemas.openxmlformats.org/officeDocument/2006/relationships/hyperlink" Target="https://www.canterbury.ac.nz/study/academic-study/qualifications/master-of-applied-finance-and-economics" TargetMode="External"/><Relationship Id="rId11" Type="http://schemas.openxmlformats.org/officeDocument/2006/relationships/hyperlink" Target="https://www.otago.ac.nz/study/qualifications/master-of-business?subject=575964" TargetMode="External"/><Relationship Id="rId24" Type="http://schemas.openxmlformats.org/officeDocument/2006/relationships/hyperlink" Target="https://www.immigration.govt.nz/visas/fee-paying-student-visa/" TargetMode="External"/><Relationship Id="rId32" Type="http://schemas.openxmlformats.org/officeDocument/2006/relationships/hyperlink" Target="https://www.auckland.ac.nz/en/study/study-options/find-a-study-option/master-of-applied-finance.html" TargetMode="External"/><Relationship Id="rId5" Type="http://schemas.openxmlformats.org/officeDocument/2006/relationships/hyperlink" Target="https://www.immigration.govt.nz/visas/fee-paying-student-visa/" TargetMode="External"/><Relationship Id="rId15" Type="http://schemas.openxmlformats.org/officeDocument/2006/relationships/hyperlink" Target="https://www.immigration.govt.nz/visas/fee-paying-student-visa/" TargetMode="External"/><Relationship Id="rId23" Type="http://schemas.openxmlformats.org/officeDocument/2006/relationships/hyperlink" Target="https://www.massey.ac.nz/study/scholarships-and-awards/" TargetMode="External"/><Relationship Id="rId28" Type="http://schemas.openxmlformats.org/officeDocument/2006/relationships/hyperlink" Target="https://www.aut.ac.nz/study/fees-and-scholarships/scholarships-and-awards-at-aut" TargetMode="External"/><Relationship Id="rId36" Type="http://schemas.openxmlformats.org/officeDocument/2006/relationships/table" Target="../tables/table4.xml"/><Relationship Id="rId10" Type="http://schemas.openxmlformats.org/officeDocument/2006/relationships/hyperlink" Target="https://www.immigration.govt.nz/visas/fee-paying-student-visa/" TargetMode="External"/><Relationship Id="rId19" Type="http://schemas.openxmlformats.org/officeDocument/2006/relationships/hyperlink" Target="https://www.immigration.govt.nz/visas/fee-paying-student-visa/" TargetMode="External"/><Relationship Id="rId31" Type="http://schemas.openxmlformats.org/officeDocument/2006/relationships/hyperlink" Target="https://www.auckland.ac.nz/en/study/study-options/find-a-study-option/master-of-applied-finance.html" TargetMode="External"/><Relationship Id="rId4" Type="http://schemas.openxmlformats.org/officeDocument/2006/relationships/hyperlink" Target="https://www.waikato.ac.nz/int/study/scholarships/find-a-scholarship/vice-chancellors-international-excellence-scholarship-for-china/" TargetMode="External"/><Relationship Id="rId9" Type="http://schemas.openxmlformats.org/officeDocument/2006/relationships/hyperlink" Target="https://www.canterbury.ac.nz/study/academic-study/business/international-students-at-uc-business/postgraduate-business-degrees-for-international-students" TargetMode="External"/><Relationship Id="rId14" Type="http://schemas.openxmlformats.org/officeDocument/2006/relationships/hyperlink" Target="https://www.otago.ac.nz/international/future-students/scholarships" TargetMode="External"/><Relationship Id="rId22" Type="http://schemas.openxmlformats.org/officeDocument/2006/relationships/hyperlink" Target="https://www.massey.ac.nz/study/all-qualifications-and-degrees/master-of-finance-PMFNN/" TargetMode="External"/><Relationship Id="rId27" Type="http://schemas.openxmlformats.org/officeDocument/2006/relationships/hyperlink" Target="https://arion.aut.ac.nz/arionmain/courseinfo/Information/Qualifications/Details/QualDetails.aspx?id=1711" TargetMode="External"/><Relationship Id="rId30" Type="http://schemas.openxmlformats.org/officeDocument/2006/relationships/hyperlink" Target="https://www.auckland.ac.nz/en/study/study-options/find-a-study-option/master-of-applied-finance.html" TargetMode="External"/><Relationship Id="rId35" Type="http://schemas.openxmlformats.org/officeDocument/2006/relationships/drawing" Target="../drawings/drawing4.xml"/><Relationship Id="rId8" Type="http://schemas.openxmlformats.org/officeDocument/2006/relationships/hyperlink" Target="https://www.canterbury.ac.nz/study/academic-study/qualifications/master-of-applied-finance-and-econom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2"/>
  <sheetViews>
    <sheetView showGridLines="0" tabSelected="1" workbookViewId="0">
      <pane xSplit="5" ySplit="16" topLeftCell="F17" activePane="bottomRight" state="frozenSplit"/>
      <selection pane="bottomLeft" activeCell="A17" sqref="A17"/>
      <selection pane="topRight" activeCell="F1" sqref="F1"/>
      <selection pane="bottomRight" sqref="A1:M1"/>
    </sheetView>
  </sheetViews>
  <sheetFormatPr defaultRowHeight="14"/>
  <cols>
    <col min="1" max="1" width="10" customWidth="1"/>
    <col min="2" max="2" width="18" customWidth="1"/>
    <col min="3" max="3" width="11" customWidth="1"/>
    <col min="4" max="4" width="15" customWidth="1"/>
    <col min="5" max="5" width="32" customWidth="1"/>
    <col min="6" max="6" width="20" customWidth="1"/>
    <col min="7" max="7" width="13" customWidth="1"/>
    <col min="8" max="8" width="10" customWidth="1"/>
    <col min="9" max="9" width="12" customWidth="1"/>
    <col min="10" max="10" width="9" customWidth="1"/>
    <col min="11" max="11" width="10" customWidth="1"/>
    <col min="12" max="12" width="12" customWidth="1"/>
    <col min="13" max="13" width="24" customWidth="1"/>
    <col min="14" max="15" width="22" customWidth="1"/>
    <col min="16" max="16" width="18" customWidth="1"/>
    <col min="17" max="17" width="28" customWidth="1"/>
    <col min="18" max="18" width="34" customWidth="1"/>
    <col min="19" max="19" width="25" customWidth="1"/>
    <col min="20" max="20" width="18" customWidth="1"/>
    <col min="21" max="21" width="24" customWidth="1"/>
    <col min="22" max="23" width="14" customWidth="1"/>
    <col min="24" max="24" width="12" customWidth="1"/>
    <col min="25" max="25" width="10" customWidth="1"/>
    <col min="26" max="27" width="12" customWidth="1"/>
    <col min="28" max="28" width="14" customWidth="1"/>
    <col min="29" max="29" width="13" customWidth="1"/>
    <col min="30" max="30" width="14" customWidth="1"/>
    <col min="31" max="31" width="13" customWidth="1"/>
    <col min="32" max="32" width="14" customWidth="1"/>
    <col min="33" max="33" width="13" customWidth="1"/>
    <col min="34" max="34" width="14" customWidth="1"/>
    <col min="35" max="35" width="13" customWidth="1"/>
    <col min="36" max="36" width="14" customWidth="1"/>
    <col min="37" max="37" width="13" customWidth="1"/>
    <col min="38" max="38" width="16" customWidth="1"/>
    <col min="39" max="39" width="14" customWidth="1"/>
    <col min="40" max="40" width="18" customWidth="1"/>
    <col min="41" max="42" width="16" customWidth="1"/>
    <col min="43" max="43" width="14" customWidth="1"/>
    <col min="44" max="45" width="16" customWidth="1"/>
    <col min="46" max="46" width="13" customWidth="1"/>
    <col min="47" max="47" width="15" customWidth="1"/>
    <col min="48" max="48" width="14" customWidth="1"/>
    <col min="49" max="49" width="20" customWidth="1"/>
    <col min="50" max="50" width="14" customWidth="1"/>
    <col min="51" max="51" width="16" customWidth="1"/>
    <col min="52" max="52" width="14" customWidth="1"/>
    <col min="53" max="54" width="16" customWidth="1"/>
    <col min="55" max="55" width="18" customWidth="1"/>
    <col min="56" max="56" width="13" customWidth="1"/>
    <col min="57" max="57" width="12" customWidth="1"/>
    <col min="58" max="60" width="16" customWidth="1"/>
    <col min="61" max="61" width="18" customWidth="1"/>
    <col min="62" max="62" width="20" customWidth="1"/>
    <col min="63" max="63" width="44" customWidth="1"/>
    <col min="64" max="64" width="28" customWidth="1"/>
    <col min="65" max="65" width="38" customWidth="1"/>
    <col min="66" max="66" width="13" customWidth="1"/>
  </cols>
  <sheetData>
    <row r="1" spans="1:80" ht="34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BP1" s="11" t="s">
        <v>1</v>
      </c>
      <c r="BQ1" s="11" t="s">
        <v>2</v>
      </c>
      <c r="BR1" s="11" t="s">
        <v>3</v>
      </c>
      <c r="BS1" s="11"/>
      <c r="BT1" s="11"/>
      <c r="BU1" s="11" t="s">
        <v>4</v>
      </c>
      <c r="BV1" s="11" t="s">
        <v>5</v>
      </c>
      <c r="BW1" s="11"/>
      <c r="BX1" s="11" t="s">
        <v>6</v>
      </c>
      <c r="BY1" s="11" t="s">
        <v>5</v>
      </c>
      <c r="BZ1" s="11"/>
      <c r="CA1" s="11" t="s">
        <v>7</v>
      </c>
      <c r="CB1" s="11" t="s">
        <v>5</v>
      </c>
    </row>
    <row r="2" spans="1:80">
      <c r="A2" s="2" t="s">
        <v>8</v>
      </c>
      <c r="B2" s="1" t="s">
        <v>9</v>
      </c>
      <c r="C2" s="1"/>
      <c r="D2" s="2" t="s">
        <v>10</v>
      </c>
      <c r="E2" s="1">
        <v>2027</v>
      </c>
      <c r="F2" s="1"/>
      <c r="G2" s="2" t="s">
        <v>11</v>
      </c>
      <c r="H2" s="4">
        <v>0.92</v>
      </c>
      <c r="I2" s="1" t="s">
        <v>12</v>
      </c>
      <c r="J2" s="1" t="s">
        <v>13</v>
      </c>
      <c r="K2" s="1" t="s">
        <v>14</v>
      </c>
      <c r="L2" s="1" t="s">
        <v>15</v>
      </c>
      <c r="M2" s="1"/>
      <c r="BP2" s="11" t="str">
        <f t="shared" ref="BP2:BP7" si="0">IF($AA17="是",$C17&amp;"-"&amp;$F17,"无符合条件项目")</f>
        <v>HKBU-MSc Applied Economics</v>
      </c>
      <c r="BQ2" s="12">
        <f t="shared" ref="BQ2:BQ7" si="1">IF($AA17="是",$AT17,0)</f>
        <v>38.271999999999998</v>
      </c>
      <c r="BR2" s="12">
        <f t="shared" ref="BR2:BR7" si="2">$B$3/10000</f>
        <v>40</v>
      </c>
      <c r="BS2" s="11"/>
      <c r="BT2" s="11"/>
      <c r="BU2" s="11" t="s">
        <v>16</v>
      </c>
      <c r="BV2" s="11">
        <f>COUNTIFS($AA$17:$AA$22,"是",$BD$17:$BD$22,$BU2)</f>
        <v>1</v>
      </c>
      <c r="BW2" s="11"/>
      <c r="BX2" s="11" t="s">
        <v>17</v>
      </c>
      <c r="BY2" s="11">
        <f t="shared" ref="BY2:BY12" si="3">COUNTIFS($AA$17:$AA$22,"是",$G$17:$G$22,$BX2)</f>
        <v>4</v>
      </c>
      <c r="BZ2" s="11"/>
      <c r="CA2" s="11" t="s">
        <v>18</v>
      </c>
      <c r="CB2" s="11">
        <f>COUNTIFS($AA$17:$AA$22,"是",$AW$17:$AW$22,$CA2)</f>
        <v>3</v>
      </c>
    </row>
    <row r="3" spans="1:80">
      <c r="A3" s="2" t="s">
        <v>19</v>
      </c>
      <c r="B3" s="3">
        <v>400000</v>
      </c>
      <c r="C3" s="1"/>
      <c r="D3" s="2" t="s">
        <v>20</v>
      </c>
      <c r="E3" s="17" t="s">
        <v>21</v>
      </c>
      <c r="F3" s="17"/>
      <c r="G3" s="17"/>
      <c r="H3" s="17"/>
      <c r="I3" s="17"/>
      <c r="J3" s="17"/>
      <c r="K3" s="17"/>
      <c r="L3" s="17"/>
      <c r="M3" s="17"/>
      <c r="BP3" s="11" t="str">
        <f t="shared" si="0"/>
        <v>CityUHK-MSc Applied Economics</v>
      </c>
      <c r="BQ3" s="12">
        <f t="shared" si="1"/>
        <v>42.32</v>
      </c>
      <c r="BR3" s="12">
        <f t="shared" si="2"/>
        <v>40</v>
      </c>
      <c r="BS3" s="11"/>
      <c r="BT3" s="11"/>
      <c r="BU3" s="11" t="s">
        <v>22</v>
      </c>
      <c r="BV3" s="11">
        <f>COUNTIFS($AA$17:$AA$22,"是",$BD$17:$BD$22,$BU3)</f>
        <v>3</v>
      </c>
      <c r="BW3" s="11"/>
      <c r="BX3" s="11" t="s">
        <v>23</v>
      </c>
      <c r="BY3" s="11">
        <f t="shared" si="3"/>
        <v>2</v>
      </c>
      <c r="BZ3" s="11"/>
      <c r="CA3" s="11" t="s">
        <v>24</v>
      </c>
      <c r="CB3" s="11">
        <f>COUNTIFS($AA$17:$AA$22,"是",$AW$17:$AW$22,$CA3)</f>
        <v>0</v>
      </c>
    </row>
    <row r="4" spans="1:80">
      <c r="BP4" s="11" t="str">
        <f t="shared" si="0"/>
        <v>CUHK-MSc Economics</v>
      </c>
      <c r="BQ4" s="12">
        <f t="shared" si="1"/>
        <v>42.043999999999997</v>
      </c>
      <c r="BR4" s="12">
        <f t="shared" si="2"/>
        <v>40</v>
      </c>
      <c r="BS4" s="11"/>
      <c r="BT4" s="11"/>
      <c r="BU4" s="11" t="s">
        <v>25</v>
      </c>
      <c r="BV4" s="11">
        <f>COUNTIFS($AA$17:$AA$22,"是",$BD$17:$BD$22,$BU4)</f>
        <v>2</v>
      </c>
      <c r="BW4" s="11"/>
      <c r="BX4" s="11" t="s">
        <v>26</v>
      </c>
      <c r="BY4" s="11">
        <f t="shared" si="3"/>
        <v>0</v>
      </c>
      <c r="BZ4" s="11"/>
      <c r="CA4" s="11" t="s">
        <v>27</v>
      </c>
      <c r="CB4" s="11">
        <f>COUNTIFS($AA$17:$AA$22,"是",$AW$17:$AW$22,$CA4)</f>
        <v>1</v>
      </c>
    </row>
    <row r="5" spans="1:80">
      <c r="A5" s="18" t="s">
        <v>28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BP5" s="11" t="str">
        <f t="shared" si="0"/>
        <v>HKUST-MSc Economics</v>
      </c>
      <c r="BQ5" s="12">
        <f t="shared" si="1"/>
        <v>43.332000000000001</v>
      </c>
      <c r="BR5" s="12">
        <f t="shared" si="2"/>
        <v>40</v>
      </c>
      <c r="BS5" s="11"/>
      <c r="BT5" s="11"/>
      <c r="BU5" s="11"/>
      <c r="BV5" s="11"/>
      <c r="BW5" s="11"/>
      <c r="BX5" s="11" t="s">
        <v>29</v>
      </c>
      <c r="BY5" s="11">
        <f t="shared" si="3"/>
        <v>0</v>
      </c>
      <c r="BZ5" s="11"/>
      <c r="CA5" s="11" t="s">
        <v>30</v>
      </c>
      <c r="CB5" s="11">
        <f>COUNTIFS($AA$17:$AA$22,"是",$AW$17:$AW$22,$CA5)</f>
        <v>2</v>
      </c>
    </row>
    <row r="6" spans="1:80">
      <c r="A6" s="19" t="s">
        <v>31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BP6" s="11" t="str">
        <f t="shared" si="0"/>
        <v>PolyU-MSc Economics</v>
      </c>
      <c r="BQ6" s="12">
        <f t="shared" si="1"/>
        <v>44.527999999999999</v>
      </c>
      <c r="BR6" s="12">
        <f t="shared" si="2"/>
        <v>40</v>
      </c>
      <c r="BS6" s="11"/>
      <c r="BT6" s="11"/>
      <c r="BU6" s="11"/>
      <c r="BV6" s="11"/>
      <c r="BW6" s="11"/>
      <c r="BX6" s="11" t="s">
        <v>32</v>
      </c>
      <c r="BY6" s="11">
        <f t="shared" si="3"/>
        <v>0</v>
      </c>
      <c r="BZ6" s="11"/>
      <c r="CA6" s="11"/>
      <c r="CB6" s="11"/>
    </row>
    <row r="7" spans="1:80">
      <c r="A7" s="22" t="s">
        <v>33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  <c r="BP7" s="11" t="str">
        <f t="shared" si="0"/>
        <v>HKU-MEcon</v>
      </c>
      <c r="BQ7" s="12">
        <f t="shared" si="1"/>
        <v>51.427999999999997</v>
      </c>
      <c r="BR7" s="12">
        <f t="shared" si="2"/>
        <v>40</v>
      </c>
      <c r="BS7" s="11"/>
      <c r="BT7" s="11"/>
      <c r="BU7" s="11"/>
      <c r="BV7" s="11"/>
      <c r="BW7" s="11"/>
      <c r="BX7" s="11" t="s">
        <v>34</v>
      </c>
      <c r="BY7" s="11">
        <f t="shared" si="3"/>
        <v>0</v>
      </c>
      <c r="BZ7" s="11"/>
      <c r="CA7" s="11"/>
      <c r="CB7" s="11"/>
    </row>
    <row r="8" spans="1:80">
      <c r="A8" s="25" t="s">
        <v>35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BP8" s="11"/>
      <c r="BQ8" s="12"/>
      <c r="BR8" s="12"/>
      <c r="BS8" s="11"/>
      <c r="BT8" s="11"/>
      <c r="BU8" s="11"/>
      <c r="BV8" s="11"/>
      <c r="BW8" s="11"/>
      <c r="BX8" s="11" t="s">
        <v>36</v>
      </c>
      <c r="BY8" s="11">
        <f t="shared" si="3"/>
        <v>0</v>
      </c>
      <c r="BZ8" s="11"/>
      <c r="CA8" s="11"/>
      <c r="CB8" s="11"/>
    </row>
    <row r="9" spans="1:80">
      <c r="BP9" s="11"/>
      <c r="BQ9" s="12"/>
      <c r="BR9" s="12"/>
      <c r="BS9" s="11"/>
      <c r="BT9" s="11"/>
      <c r="BU9" s="11"/>
      <c r="BV9" s="11"/>
      <c r="BW9" s="11"/>
      <c r="BX9" s="11" t="s">
        <v>37</v>
      </c>
      <c r="BY9" s="11">
        <f t="shared" si="3"/>
        <v>0</v>
      </c>
      <c r="BZ9" s="11"/>
      <c r="CA9" s="11"/>
      <c r="CB9" s="11"/>
    </row>
    <row r="10" spans="1:80">
      <c r="A10" s="28" t="s">
        <v>38</v>
      </c>
      <c r="B10" s="28"/>
      <c r="C10" s="30" t="s">
        <v>39</v>
      </c>
      <c r="D10" s="30"/>
      <c r="E10" s="28" t="s">
        <v>16</v>
      </c>
      <c r="F10" s="28"/>
      <c r="G10" s="30" t="s">
        <v>22</v>
      </c>
      <c r="H10" s="30"/>
      <c r="I10" s="28" t="s">
        <v>25</v>
      </c>
      <c r="J10" s="28"/>
      <c r="K10" s="30" t="s">
        <v>40</v>
      </c>
      <c r="L10" s="30"/>
      <c r="BP10" s="11"/>
      <c r="BQ10" s="12"/>
      <c r="BR10" s="12"/>
      <c r="BS10" s="11"/>
      <c r="BT10" s="11"/>
      <c r="BU10" s="11"/>
      <c r="BV10" s="11"/>
      <c r="BW10" s="11"/>
      <c r="BX10" s="11" t="s">
        <v>41</v>
      </c>
      <c r="BY10" s="11">
        <f t="shared" si="3"/>
        <v>0</v>
      </c>
      <c r="BZ10" s="11"/>
      <c r="CA10" s="11"/>
      <c r="CB10" s="11"/>
    </row>
    <row r="11" spans="1:80" ht="18">
      <c r="A11" s="29">
        <f>SUM($BN$17:$BN$22)</f>
        <v>6</v>
      </c>
      <c r="B11" s="29"/>
      <c r="C11" s="31">
        <f>COUNTIF($AA$17:$AA$22,"是")</f>
        <v>6</v>
      </c>
      <c r="D11" s="31"/>
      <c r="E11" s="29">
        <f>COUNTIFS($AA$17:$AA$22,"是",$BD$17:$BD$22,"预算内")</f>
        <v>1</v>
      </c>
      <c r="F11" s="29"/>
      <c r="G11" s="31">
        <f>COUNTIFS($AA$17:$AA$22,"是",$BD$17:$BD$22,"临界预算")</f>
        <v>3</v>
      </c>
      <c r="H11" s="31"/>
      <c r="I11" s="29">
        <f>COUNTIFS($AA$17:$AA$22,"是",$BD$17:$BD$22,"超预算")</f>
        <v>2</v>
      </c>
      <c r="J11" s="29"/>
      <c r="K11" s="31">
        <f>COUNTIFS($AA$17:$AA$22,"是",$AX$17:$AX$22,"是")</f>
        <v>1</v>
      </c>
      <c r="L11" s="31"/>
      <c r="BP11" s="11"/>
      <c r="BQ11" s="12"/>
      <c r="BR11" s="12"/>
      <c r="BS11" s="11"/>
      <c r="BT11" s="11"/>
      <c r="BU11" s="11"/>
      <c r="BV11" s="11"/>
      <c r="BW11" s="11"/>
      <c r="BX11" s="11" t="s">
        <v>42</v>
      </c>
      <c r="BY11" s="11">
        <f t="shared" si="3"/>
        <v>0</v>
      </c>
      <c r="BZ11" s="11"/>
      <c r="CA11" s="11"/>
      <c r="CB11" s="11"/>
    </row>
    <row r="12" spans="1:80">
      <c r="BP12" s="11"/>
      <c r="BQ12" s="11"/>
      <c r="BR12" s="11"/>
      <c r="BS12" s="11"/>
      <c r="BT12" s="11"/>
      <c r="BU12" s="11"/>
      <c r="BV12" s="11"/>
      <c r="BW12" s="11"/>
      <c r="BX12" s="11" t="s">
        <v>43</v>
      </c>
      <c r="BY12" s="11">
        <f t="shared" si="3"/>
        <v>0</v>
      </c>
      <c r="BZ12" s="11"/>
      <c r="CA12" s="11"/>
      <c r="CB12" s="11"/>
    </row>
    <row r="13" spans="1:80">
      <c r="A13" s="28" t="s">
        <v>44</v>
      </c>
      <c r="B13" s="28"/>
      <c r="C13" s="30" t="s">
        <v>45</v>
      </c>
      <c r="D13" s="30"/>
      <c r="E13" s="28" t="s">
        <v>46</v>
      </c>
      <c r="F13" s="28"/>
      <c r="G13" s="30" t="s">
        <v>47</v>
      </c>
      <c r="H13" s="30"/>
      <c r="I13" s="28" t="s">
        <v>48</v>
      </c>
      <c r="J13" s="28"/>
      <c r="K13" s="30" t="s">
        <v>49</v>
      </c>
      <c r="L13" s="30"/>
    </row>
    <row r="14" spans="1:80" ht="18">
      <c r="A14" s="29">
        <f>COUNTIFS($AA$17:$AA$22,"是",$AY$17:$AY$22,"是")</f>
        <v>3</v>
      </c>
      <c r="B14" s="29"/>
      <c r="C14" s="31">
        <f>COUNTIFS($AA$17:$AA$22,"是",$I$17:$I$22,"1年")</f>
        <v>6</v>
      </c>
      <c r="D14" s="31"/>
      <c r="E14" s="29">
        <f>COUNTIFS($AA$17:$AA$22,"是",$I$17:$I$22,"1.5年")</f>
        <v>0</v>
      </c>
      <c r="F14" s="29"/>
      <c r="G14" s="32">
        <f>IFERROR(SUMIFS($AR$17:$AR$22,$AA$17:$AA$22,"是")/COUNTIF($AA$17:$AA$22,"是")/10000,0)</f>
        <v>43.654000000000003</v>
      </c>
      <c r="H14" s="31"/>
      <c r="I14" s="33">
        <f>IF(COUNTIF($AA$17:$AA$22,"是")=0,0,MIN($AR$17:$AR$22)/10000)</f>
        <v>38.271999999999998</v>
      </c>
      <c r="J14" s="29"/>
      <c r="K14" s="32">
        <f>IF(COUNTIF($AA$17:$AA$22,"是")=0,0,MAX($AR$17:$AR$22)/10000)</f>
        <v>51.427999999999997</v>
      </c>
      <c r="L14" s="31"/>
    </row>
    <row r="16" spans="1:80" ht="42" customHeight="1">
      <c r="A16" s="5" t="s">
        <v>50</v>
      </c>
      <c r="B16" s="5" t="s">
        <v>51</v>
      </c>
      <c r="C16" s="5" t="s">
        <v>52</v>
      </c>
      <c r="D16" s="5" t="s">
        <v>53</v>
      </c>
      <c r="E16" s="5" t="s">
        <v>54</v>
      </c>
      <c r="F16" s="5" t="s">
        <v>55</v>
      </c>
      <c r="G16" s="5" t="s">
        <v>6</v>
      </c>
      <c r="H16" s="5" t="s">
        <v>56</v>
      </c>
      <c r="I16" s="5" t="s">
        <v>57</v>
      </c>
      <c r="J16" s="5" t="s">
        <v>58</v>
      </c>
      <c r="K16" s="5" t="s">
        <v>59</v>
      </c>
      <c r="L16" s="5" t="s">
        <v>60</v>
      </c>
      <c r="M16" s="5" t="s">
        <v>61</v>
      </c>
      <c r="N16" s="5" t="s">
        <v>62</v>
      </c>
      <c r="O16" s="5" t="s">
        <v>63</v>
      </c>
      <c r="P16" s="5" t="s">
        <v>64</v>
      </c>
      <c r="Q16" s="5" t="s">
        <v>65</v>
      </c>
      <c r="R16" s="5" t="s">
        <v>66</v>
      </c>
      <c r="S16" s="5" t="s">
        <v>67</v>
      </c>
      <c r="T16" s="5" t="s">
        <v>68</v>
      </c>
      <c r="U16" s="5" t="s">
        <v>69</v>
      </c>
      <c r="V16" s="5" t="s">
        <v>70</v>
      </c>
      <c r="W16" s="5" t="s">
        <v>71</v>
      </c>
      <c r="X16" s="5" t="s">
        <v>72</v>
      </c>
      <c r="Y16" s="5" t="s">
        <v>73</v>
      </c>
      <c r="Z16" s="5" t="s">
        <v>74</v>
      </c>
      <c r="AA16" s="5" t="s">
        <v>75</v>
      </c>
      <c r="AB16" s="5" t="s">
        <v>76</v>
      </c>
      <c r="AC16" s="5" t="s">
        <v>77</v>
      </c>
      <c r="AD16" s="5" t="s">
        <v>78</v>
      </c>
      <c r="AE16" s="5" t="s">
        <v>79</v>
      </c>
      <c r="AF16" s="5" t="s">
        <v>80</v>
      </c>
      <c r="AG16" s="5" t="s">
        <v>81</v>
      </c>
      <c r="AH16" s="5" t="s">
        <v>82</v>
      </c>
      <c r="AI16" s="5" t="s">
        <v>83</v>
      </c>
      <c r="AJ16" s="5" t="s">
        <v>84</v>
      </c>
      <c r="AK16" s="5" t="s">
        <v>85</v>
      </c>
      <c r="AL16" s="5" t="s">
        <v>86</v>
      </c>
      <c r="AM16" s="5" t="s">
        <v>87</v>
      </c>
      <c r="AN16" s="5" t="s">
        <v>88</v>
      </c>
      <c r="AO16" s="5" t="s">
        <v>89</v>
      </c>
      <c r="AP16" s="5" t="s">
        <v>90</v>
      </c>
      <c r="AQ16" s="5" t="s">
        <v>91</v>
      </c>
      <c r="AR16" s="5" t="s">
        <v>92</v>
      </c>
      <c r="AS16" s="5" t="s">
        <v>93</v>
      </c>
      <c r="AT16" s="5" t="s">
        <v>94</v>
      </c>
      <c r="AU16" s="5" t="s">
        <v>95</v>
      </c>
      <c r="AV16" s="5" t="s">
        <v>96</v>
      </c>
      <c r="AW16" s="5" t="s">
        <v>7</v>
      </c>
      <c r="AX16" s="5" t="s">
        <v>97</v>
      </c>
      <c r="AY16" s="5" t="s">
        <v>98</v>
      </c>
      <c r="AZ16" s="5" t="s">
        <v>99</v>
      </c>
      <c r="BA16" s="5" t="s">
        <v>100</v>
      </c>
      <c r="BB16" s="5" t="s">
        <v>101</v>
      </c>
      <c r="BC16" s="5" t="s">
        <v>102</v>
      </c>
      <c r="BD16" s="5" t="s">
        <v>4</v>
      </c>
      <c r="BE16" s="5" t="s">
        <v>103</v>
      </c>
      <c r="BF16" s="5" t="s">
        <v>104</v>
      </c>
      <c r="BG16" s="5" t="s">
        <v>105</v>
      </c>
      <c r="BH16" s="5" t="s">
        <v>106</v>
      </c>
      <c r="BI16" s="5" t="s">
        <v>107</v>
      </c>
      <c r="BJ16" s="5" t="s">
        <v>108</v>
      </c>
      <c r="BK16" s="5" t="s">
        <v>109</v>
      </c>
      <c r="BL16" s="5" t="s">
        <v>110</v>
      </c>
      <c r="BM16" s="5" t="s">
        <v>111</v>
      </c>
      <c r="BN16" s="5" t="s">
        <v>112</v>
      </c>
    </row>
    <row r="17" spans="1:66" ht="72" customHeight="1">
      <c r="A17" s="6" t="s">
        <v>113</v>
      </c>
      <c r="B17" s="6" t="s">
        <v>114</v>
      </c>
      <c r="C17" s="6" t="s">
        <v>115</v>
      </c>
      <c r="D17" s="6" t="s">
        <v>113</v>
      </c>
      <c r="E17" s="6" t="s">
        <v>116</v>
      </c>
      <c r="F17" s="6" t="s">
        <v>117</v>
      </c>
      <c r="G17" s="6" t="s">
        <v>23</v>
      </c>
      <c r="H17" s="6" t="s">
        <v>118</v>
      </c>
      <c r="I17" s="6" t="s">
        <v>119</v>
      </c>
      <c r="J17" s="6">
        <v>12</v>
      </c>
      <c r="K17" s="6" t="s">
        <v>120</v>
      </c>
      <c r="L17" s="6" t="s">
        <v>121</v>
      </c>
      <c r="M17" s="6" t="s">
        <v>122</v>
      </c>
      <c r="N17" s="6" t="s">
        <v>123</v>
      </c>
      <c r="O17" s="6" t="s">
        <v>124</v>
      </c>
      <c r="P17" s="6" t="s">
        <v>125</v>
      </c>
      <c r="Q17" s="6" t="s">
        <v>126</v>
      </c>
      <c r="R17" s="6" t="s">
        <v>127</v>
      </c>
      <c r="S17" s="6" t="s">
        <v>128</v>
      </c>
      <c r="T17" s="6" t="s">
        <v>129</v>
      </c>
      <c r="U17" s="6" t="s">
        <v>130</v>
      </c>
      <c r="V17" s="6" t="s">
        <v>131</v>
      </c>
      <c r="W17" s="6" t="s">
        <v>132</v>
      </c>
      <c r="X17" s="6" t="s">
        <v>133</v>
      </c>
      <c r="Y17" s="6">
        <v>93</v>
      </c>
      <c r="Z17" s="6" t="s">
        <v>134</v>
      </c>
      <c r="AA17" s="6" t="s">
        <v>131</v>
      </c>
      <c r="AB17" s="7">
        <f t="shared" ref="AB17:AB22" si="4">ROUND($AC17*$H$2,0)</f>
        <v>271400</v>
      </c>
      <c r="AC17" s="8">
        <v>295000</v>
      </c>
      <c r="AD17" s="8">
        <f t="shared" ref="AD17:AD22" si="5">ROUND($AE17*$H$2,0)</f>
        <v>46000</v>
      </c>
      <c r="AE17" s="8">
        <v>50000</v>
      </c>
      <c r="AF17" s="8">
        <f t="shared" ref="AF17:AF22" si="6">ROUND($AG17*$H$2,0)</f>
        <v>33120</v>
      </c>
      <c r="AG17" s="8">
        <v>36000</v>
      </c>
      <c r="AH17" s="8">
        <f t="shared" ref="AH17:AH22" si="7">ROUND($AI17*$H$2,0)</f>
        <v>7360</v>
      </c>
      <c r="AI17" s="8">
        <v>8000</v>
      </c>
      <c r="AJ17" s="8">
        <f t="shared" ref="AJ17:AJ22" si="8">ROUND($AK17*$H$2,0)</f>
        <v>12880</v>
      </c>
      <c r="AK17" s="8">
        <v>14000</v>
      </c>
      <c r="AL17" s="8">
        <f t="shared" ref="AL17:AL22" si="9">ROUND($AM17*$H$2,0)</f>
        <v>3680</v>
      </c>
      <c r="AM17" s="8">
        <v>4000</v>
      </c>
      <c r="AN17" s="8">
        <f t="shared" ref="AN17:AN22" si="10">ROUND($AO17*$H$2,0)</f>
        <v>4600</v>
      </c>
      <c r="AO17" s="8">
        <v>5000</v>
      </c>
      <c r="AP17" s="8">
        <f t="shared" ref="AP17:AP22" si="11">ROUND($AQ17*$H$2,0)</f>
        <v>3680</v>
      </c>
      <c r="AQ17" s="8">
        <v>4000</v>
      </c>
      <c r="AR17" s="7">
        <f t="shared" ref="AR17:AR22" si="12">SUM($AB17,$AD17,$AF17,$AH17,$AJ17,$AL17,$AN17,$AP17)</f>
        <v>382720</v>
      </c>
      <c r="AS17" s="7">
        <f t="shared" ref="AS17:AS22" si="13">SUM($AC17,$AE17,$AG17,$AI17,$AK17,$AM17,$AO17,$AQ17)</f>
        <v>416000</v>
      </c>
      <c r="AT17" s="9">
        <f t="shared" ref="AT17:AT22" si="14">$AR17/10000</f>
        <v>38.271999999999998</v>
      </c>
      <c r="AU17" s="7">
        <f t="shared" ref="AU17:AU22" si="15">ROUND($AV17*$H$2,0)</f>
        <v>0</v>
      </c>
      <c r="AV17" s="8">
        <v>0</v>
      </c>
      <c r="AW17" s="6" t="s">
        <v>30</v>
      </c>
      <c r="AX17" s="6" t="s">
        <v>135</v>
      </c>
      <c r="AY17" s="6" t="s">
        <v>129</v>
      </c>
      <c r="AZ17" s="6" t="s">
        <v>135</v>
      </c>
      <c r="BA17" s="7">
        <f t="shared" ref="BA17:BA22" si="16">MAX(0,$AR17-$AU17)</f>
        <v>382720</v>
      </c>
      <c r="BB17" s="8">
        <f t="shared" ref="BB17:BB22" si="17">MAX(0,$AS17-$AV17)</f>
        <v>416000</v>
      </c>
      <c r="BC17" s="7">
        <f t="shared" ref="BC17:BC22" si="18">$B$3-$BA17</f>
        <v>17280</v>
      </c>
      <c r="BD17" s="6" t="str">
        <f t="shared" ref="BD17:BD22" si="19">IF($AA17&lt;&gt;"是","排除",IF($AR17&lt;=$B$3,"预算内",IF($AR17&lt;=$B$3*1.1,"临界预算","超预算")))</f>
        <v>预算内</v>
      </c>
      <c r="BE17" s="6" t="s">
        <v>9</v>
      </c>
      <c r="BF17" s="43" t="s">
        <v>104</v>
      </c>
      <c r="BG17" s="43" t="s">
        <v>105</v>
      </c>
      <c r="BH17" s="43" t="s">
        <v>350</v>
      </c>
      <c r="BI17" s="10" t="s">
        <v>136</v>
      </c>
      <c r="BJ17" s="43" t="s">
        <v>351</v>
      </c>
      <c r="BK17" s="6" t="s">
        <v>137</v>
      </c>
      <c r="BL17" s="6" t="s">
        <v>138</v>
      </c>
      <c r="BM17" s="6" t="s">
        <v>139</v>
      </c>
      <c r="BN17" s="6">
        <f>IF($AA17="是",IF(COUNTIFS($B$17:$B17,$B17,$AA$17:$AA17,"是")=1,1,0),0)</f>
        <v>1</v>
      </c>
    </row>
    <row r="18" spans="1:66" ht="72" customHeight="1">
      <c r="A18" s="6" t="s">
        <v>113</v>
      </c>
      <c r="B18" s="6" t="s">
        <v>140</v>
      </c>
      <c r="C18" s="6" t="s">
        <v>141</v>
      </c>
      <c r="D18" s="6" t="s">
        <v>113</v>
      </c>
      <c r="E18" s="6" t="s">
        <v>116</v>
      </c>
      <c r="F18" s="6" t="s">
        <v>117</v>
      </c>
      <c r="G18" s="6" t="s">
        <v>23</v>
      </c>
      <c r="H18" s="6" t="s">
        <v>118</v>
      </c>
      <c r="I18" s="6" t="s">
        <v>119</v>
      </c>
      <c r="J18" s="6">
        <v>12</v>
      </c>
      <c r="K18" s="6" t="s">
        <v>120</v>
      </c>
      <c r="L18" s="6" t="s">
        <v>121</v>
      </c>
      <c r="M18" s="6" t="s">
        <v>122</v>
      </c>
      <c r="N18" s="6" t="s">
        <v>142</v>
      </c>
      <c r="O18" s="6" t="s">
        <v>143</v>
      </c>
      <c r="P18" s="6" t="s">
        <v>125</v>
      </c>
      <c r="Q18" s="6" t="s">
        <v>144</v>
      </c>
      <c r="R18" s="6" t="s">
        <v>145</v>
      </c>
      <c r="S18" s="6" t="s">
        <v>146</v>
      </c>
      <c r="T18" s="6" t="s">
        <v>147</v>
      </c>
      <c r="U18" s="6" t="s">
        <v>130</v>
      </c>
      <c r="V18" s="6" t="s">
        <v>131</v>
      </c>
      <c r="W18" s="6" t="s">
        <v>132</v>
      </c>
      <c r="X18" s="6" t="s">
        <v>133</v>
      </c>
      <c r="Y18" s="6">
        <v>92</v>
      </c>
      <c r="Z18" s="6" t="s">
        <v>134</v>
      </c>
      <c r="AA18" s="6" t="s">
        <v>131</v>
      </c>
      <c r="AB18" s="7">
        <f t="shared" si="4"/>
        <v>311880</v>
      </c>
      <c r="AC18" s="8">
        <v>339000</v>
      </c>
      <c r="AD18" s="8">
        <f t="shared" si="5"/>
        <v>46000</v>
      </c>
      <c r="AE18" s="8">
        <v>50000</v>
      </c>
      <c r="AF18" s="8">
        <f t="shared" si="6"/>
        <v>33120</v>
      </c>
      <c r="AG18" s="8">
        <v>36000</v>
      </c>
      <c r="AH18" s="8">
        <f t="shared" si="7"/>
        <v>7360</v>
      </c>
      <c r="AI18" s="8">
        <v>8000</v>
      </c>
      <c r="AJ18" s="8">
        <f t="shared" si="8"/>
        <v>12880</v>
      </c>
      <c r="AK18" s="8">
        <v>14000</v>
      </c>
      <c r="AL18" s="8">
        <f t="shared" si="9"/>
        <v>3680</v>
      </c>
      <c r="AM18" s="8">
        <v>4000</v>
      </c>
      <c r="AN18" s="8">
        <f t="shared" si="10"/>
        <v>4600</v>
      </c>
      <c r="AO18" s="8">
        <v>5000</v>
      </c>
      <c r="AP18" s="8">
        <f t="shared" si="11"/>
        <v>3680</v>
      </c>
      <c r="AQ18" s="8">
        <v>4000</v>
      </c>
      <c r="AR18" s="7">
        <f t="shared" si="12"/>
        <v>423200</v>
      </c>
      <c r="AS18" s="7">
        <f t="shared" si="13"/>
        <v>460000</v>
      </c>
      <c r="AT18" s="9">
        <f t="shared" si="14"/>
        <v>42.32</v>
      </c>
      <c r="AU18" s="7">
        <f t="shared" si="15"/>
        <v>0</v>
      </c>
      <c r="AV18" s="8">
        <v>0</v>
      </c>
      <c r="AW18" s="6" t="s">
        <v>27</v>
      </c>
      <c r="AX18" s="6" t="s">
        <v>129</v>
      </c>
      <c r="AY18" s="6" t="s">
        <v>129</v>
      </c>
      <c r="AZ18" s="6" t="s">
        <v>135</v>
      </c>
      <c r="BA18" s="7">
        <f t="shared" si="16"/>
        <v>423200</v>
      </c>
      <c r="BB18" s="8">
        <f t="shared" si="17"/>
        <v>460000</v>
      </c>
      <c r="BC18" s="7">
        <f t="shared" si="18"/>
        <v>-23200</v>
      </c>
      <c r="BD18" s="6" t="str">
        <f t="shared" si="19"/>
        <v>临界预算</v>
      </c>
      <c r="BE18" s="6" t="s">
        <v>9</v>
      </c>
      <c r="BF18" s="43" t="s">
        <v>104</v>
      </c>
      <c r="BG18" s="43" t="s">
        <v>105</v>
      </c>
      <c r="BH18" s="43" t="s">
        <v>350</v>
      </c>
      <c r="BI18" s="10" t="s">
        <v>136</v>
      </c>
      <c r="BJ18" s="43" t="s">
        <v>351</v>
      </c>
      <c r="BK18" s="6" t="s">
        <v>148</v>
      </c>
      <c r="BL18" s="6" t="s">
        <v>138</v>
      </c>
      <c r="BM18" s="6" t="s">
        <v>149</v>
      </c>
      <c r="BN18" s="6">
        <f>IF($AA18="是",IF(COUNTIFS($B$17:$B18,$B18,$AA$17:$AA18,"是")=1,1,0),0)</f>
        <v>1</v>
      </c>
    </row>
    <row r="19" spans="1:66" ht="72" customHeight="1">
      <c r="A19" s="6" t="s">
        <v>113</v>
      </c>
      <c r="B19" s="6" t="s">
        <v>150</v>
      </c>
      <c r="C19" s="6" t="s">
        <v>151</v>
      </c>
      <c r="D19" s="6" t="s">
        <v>113</v>
      </c>
      <c r="E19" s="6" t="s">
        <v>152</v>
      </c>
      <c r="F19" s="6" t="s">
        <v>153</v>
      </c>
      <c r="G19" s="6" t="s">
        <v>17</v>
      </c>
      <c r="H19" s="6" t="s">
        <v>118</v>
      </c>
      <c r="I19" s="6" t="s">
        <v>119</v>
      </c>
      <c r="J19" s="6">
        <v>12</v>
      </c>
      <c r="K19" s="6" t="s">
        <v>120</v>
      </c>
      <c r="L19" s="6" t="s">
        <v>154</v>
      </c>
      <c r="M19" s="6" t="s">
        <v>122</v>
      </c>
      <c r="N19" s="6" t="s">
        <v>142</v>
      </c>
      <c r="O19" s="6" t="s">
        <v>155</v>
      </c>
      <c r="P19" s="6" t="s">
        <v>125</v>
      </c>
      <c r="Q19" s="6" t="s">
        <v>156</v>
      </c>
      <c r="R19" s="6" t="s">
        <v>157</v>
      </c>
      <c r="S19" s="6" t="s">
        <v>158</v>
      </c>
      <c r="T19" s="6" t="s">
        <v>129</v>
      </c>
      <c r="U19" s="6" t="s">
        <v>159</v>
      </c>
      <c r="V19" s="6" t="s">
        <v>131</v>
      </c>
      <c r="W19" s="6" t="s">
        <v>132</v>
      </c>
      <c r="X19" s="6" t="s">
        <v>160</v>
      </c>
      <c r="Y19" s="6">
        <v>87</v>
      </c>
      <c r="Z19" s="6" t="s">
        <v>161</v>
      </c>
      <c r="AA19" s="6" t="s">
        <v>131</v>
      </c>
      <c r="AB19" s="7">
        <f t="shared" si="4"/>
        <v>309120</v>
      </c>
      <c r="AC19" s="8">
        <v>336000</v>
      </c>
      <c r="AD19" s="8">
        <f t="shared" si="5"/>
        <v>46000</v>
      </c>
      <c r="AE19" s="8">
        <v>50000</v>
      </c>
      <c r="AF19" s="8">
        <f t="shared" si="6"/>
        <v>33120</v>
      </c>
      <c r="AG19" s="8">
        <v>36000</v>
      </c>
      <c r="AH19" s="8">
        <f t="shared" si="7"/>
        <v>7360</v>
      </c>
      <c r="AI19" s="8">
        <v>8000</v>
      </c>
      <c r="AJ19" s="8">
        <f t="shared" si="8"/>
        <v>12880</v>
      </c>
      <c r="AK19" s="8">
        <v>14000</v>
      </c>
      <c r="AL19" s="8">
        <f t="shared" si="9"/>
        <v>3680</v>
      </c>
      <c r="AM19" s="8">
        <v>4000</v>
      </c>
      <c r="AN19" s="8">
        <f t="shared" si="10"/>
        <v>4600</v>
      </c>
      <c r="AO19" s="8">
        <v>5000</v>
      </c>
      <c r="AP19" s="8">
        <f t="shared" si="11"/>
        <v>3680</v>
      </c>
      <c r="AQ19" s="8">
        <v>4000</v>
      </c>
      <c r="AR19" s="7">
        <f t="shared" si="12"/>
        <v>420440</v>
      </c>
      <c r="AS19" s="7">
        <f t="shared" si="13"/>
        <v>457000</v>
      </c>
      <c r="AT19" s="9">
        <f t="shared" si="14"/>
        <v>42.043999999999997</v>
      </c>
      <c r="AU19" s="7">
        <f t="shared" si="15"/>
        <v>0</v>
      </c>
      <c r="AV19" s="8">
        <v>0</v>
      </c>
      <c r="AW19" s="6" t="s">
        <v>30</v>
      </c>
      <c r="AX19" s="6" t="s">
        <v>135</v>
      </c>
      <c r="AY19" s="6" t="s">
        <v>129</v>
      </c>
      <c r="AZ19" s="6" t="s">
        <v>135</v>
      </c>
      <c r="BA19" s="7">
        <f t="shared" si="16"/>
        <v>420440</v>
      </c>
      <c r="BB19" s="8">
        <f t="shared" si="17"/>
        <v>457000</v>
      </c>
      <c r="BC19" s="7">
        <f t="shared" si="18"/>
        <v>-20440</v>
      </c>
      <c r="BD19" s="6" t="str">
        <f t="shared" si="19"/>
        <v>临界预算</v>
      </c>
      <c r="BE19" s="6" t="s">
        <v>9</v>
      </c>
      <c r="BF19" s="43" t="s">
        <v>104</v>
      </c>
      <c r="BG19" s="43" t="s">
        <v>105</v>
      </c>
      <c r="BH19" s="43" t="s">
        <v>350</v>
      </c>
      <c r="BI19" s="10" t="s">
        <v>136</v>
      </c>
      <c r="BJ19" s="43" t="s">
        <v>351</v>
      </c>
      <c r="BK19" s="6" t="s">
        <v>162</v>
      </c>
      <c r="BL19" s="6" t="s">
        <v>138</v>
      </c>
      <c r="BM19" s="6" t="s">
        <v>163</v>
      </c>
      <c r="BN19" s="6">
        <f>IF($AA19="是",IF(COUNTIFS($B$17:$B19,$B19,$AA$17:$AA19,"是")=1,1,0),0)</f>
        <v>1</v>
      </c>
    </row>
    <row r="20" spans="1:66" ht="72" customHeight="1">
      <c r="A20" s="6" t="s">
        <v>113</v>
      </c>
      <c r="B20" s="6" t="s">
        <v>164</v>
      </c>
      <c r="C20" s="6" t="s">
        <v>165</v>
      </c>
      <c r="D20" s="6" t="s">
        <v>113</v>
      </c>
      <c r="E20" s="6" t="s">
        <v>152</v>
      </c>
      <c r="F20" s="6" t="s">
        <v>153</v>
      </c>
      <c r="G20" s="6" t="s">
        <v>17</v>
      </c>
      <c r="H20" s="6" t="s">
        <v>118</v>
      </c>
      <c r="I20" s="6" t="s">
        <v>119</v>
      </c>
      <c r="J20" s="6">
        <v>12</v>
      </c>
      <c r="K20" s="6" t="s">
        <v>120</v>
      </c>
      <c r="L20" s="6" t="s">
        <v>121</v>
      </c>
      <c r="M20" s="6" t="s">
        <v>122</v>
      </c>
      <c r="N20" s="6" t="s">
        <v>142</v>
      </c>
      <c r="O20" s="6" t="s">
        <v>155</v>
      </c>
      <c r="P20" s="6" t="s">
        <v>125</v>
      </c>
      <c r="Q20" s="6" t="s">
        <v>166</v>
      </c>
      <c r="R20" s="6" t="s">
        <v>167</v>
      </c>
      <c r="S20" s="6" t="s">
        <v>168</v>
      </c>
      <c r="T20" s="6" t="s">
        <v>129</v>
      </c>
      <c r="U20" s="6" t="s">
        <v>169</v>
      </c>
      <c r="V20" s="6" t="s">
        <v>131</v>
      </c>
      <c r="W20" s="6" t="s">
        <v>132</v>
      </c>
      <c r="X20" s="6" t="s">
        <v>160</v>
      </c>
      <c r="Y20" s="6">
        <v>86</v>
      </c>
      <c r="Z20" s="6" t="s">
        <v>161</v>
      </c>
      <c r="AA20" s="6" t="s">
        <v>131</v>
      </c>
      <c r="AB20" s="7">
        <f t="shared" si="4"/>
        <v>322000</v>
      </c>
      <c r="AC20" s="8">
        <v>350000</v>
      </c>
      <c r="AD20" s="8">
        <f t="shared" si="5"/>
        <v>46000</v>
      </c>
      <c r="AE20" s="8">
        <v>50000</v>
      </c>
      <c r="AF20" s="8">
        <f t="shared" si="6"/>
        <v>33120</v>
      </c>
      <c r="AG20" s="8">
        <v>36000</v>
      </c>
      <c r="AH20" s="8">
        <f t="shared" si="7"/>
        <v>7360</v>
      </c>
      <c r="AI20" s="8">
        <v>8000</v>
      </c>
      <c r="AJ20" s="8">
        <f t="shared" si="8"/>
        <v>12880</v>
      </c>
      <c r="AK20" s="8">
        <v>14000</v>
      </c>
      <c r="AL20" s="8">
        <f t="shared" si="9"/>
        <v>3680</v>
      </c>
      <c r="AM20" s="8">
        <v>4000</v>
      </c>
      <c r="AN20" s="8">
        <f t="shared" si="10"/>
        <v>4600</v>
      </c>
      <c r="AO20" s="8">
        <v>5000</v>
      </c>
      <c r="AP20" s="8">
        <f t="shared" si="11"/>
        <v>3680</v>
      </c>
      <c r="AQ20" s="8">
        <v>4000</v>
      </c>
      <c r="AR20" s="7">
        <f t="shared" si="12"/>
        <v>433320</v>
      </c>
      <c r="AS20" s="7">
        <f t="shared" si="13"/>
        <v>471000</v>
      </c>
      <c r="AT20" s="9">
        <f t="shared" si="14"/>
        <v>43.332000000000001</v>
      </c>
      <c r="AU20" s="7">
        <f t="shared" si="15"/>
        <v>0</v>
      </c>
      <c r="AV20" s="8">
        <v>0</v>
      </c>
      <c r="AW20" s="6" t="s">
        <v>18</v>
      </c>
      <c r="AX20" s="6" t="s">
        <v>135</v>
      </c>
      <c r="AY20" s="6" t="s">
        <v>131</v>
      </c>
      <c r="AZ20" s="6" t="s">
        <v>134</v>
      </c>
      <c r="BA20" s="7">
        <f t="shared" si="16"/>
        <v>433320</v>
      </c>
      <c r="BB20" s="8">
        <f t="shared" si="17"/>
        <v>471000</v>
      </c>
      <c r="BC20" s="7">
        <f t="shared" si="18"/>
        <v>-33320</v>
      </c>
      <c r="BD20" s="6" t="str">
        <f t="shared" si="19"/>
        <v>临界预算</v>
      </c>
      <c r="BE20" s="6" t="s">
        <v>9</v>
      </c>
      <c r="BF20" s="43" t="s">
        <v>104</v>
      </c>
      <c r="BG20" s="43" t="s">
        <v>105</v>
      </c>
      <c r="BH20" s="43" t="s">
        <v>350</v>
      </c>
      <c r="BI20" s="43" t="s">
        <v>107</v>
      </c>
      <c r="BJ20" s="43" t="s">
        <v>351</v>
      </c>
      <c r="BK20" s="6" t="s">
        <v>170</v>
      </c>
      <c r="BL20" s="6" t="s">
        <v>138</v>
      </c>
      <c r="BM20" s="6" t="s">
        <v>171</v>
      </c>
      <c r="BN20" s="6">
        <f>IF($AA20="是",IF(COUNTIFS($B$17:$B20,$B20,$AA$17:$AA20,"是")=1,1,0),0)</f>
        <v>1</v>
      </c>
    </row>
    <row r="21" spans="1:66" ht="72" customHeight="1">
      <c r="A21" s="6" t="s">
        <v>113</v>
      </c>
      <c r="B21" s="6" t="s">
        <v>172</v>
      </c>
      <c r="C21" s="6" t="s">
        <v>173</v>
      </c>
      <c r="D21" s="6" t="s">
        <v>113</v>
      </c>
      <c r="E21" s="6" t="s">
        <v>152</v>
      </c>
      <c r="F21" s="6" t="s">
        <v>153</v>
      </c>
      <c r="G21" s="6" t="s">
        <v>17</v>
      </c>
      <c r="H21" s="6" t="s">
        <v>118</v>
      </c>
      <c r="I21" s="6" t="s">
        <v>119</v>
      </c>
      <c r="J21" s="6">
        <v>12</v>
      </c>
      <c r="K21" s="6" t="s">
        <v>120</v>
      </c>
      <c r="L21" s="6" t="s">
        <v>174</v>
      </c>
      <c r="M21" s="6" t="s">
        <v>175</v>
      </c>
      <c r="N21" s="6" t="s">
        <v>176</v>
      </c>
      <c r="O21" s="6" t="s">
        <v>155</v>
      </c>
      <c r="P21" s="6" t="s">
        <v>125</v>
      </c>
      <c r="Q21" s="6" t="s">
        <v>177</v>
      </c>
      <c r="R21" s="6" t="s">
        <v>178</v>
      </c>
      <c r="S21" s="6" t="s">
        <v>179</v>
      </c>
      <c r="T21" s="6" t="s">
        <v>135</v>
      </c>
      <c r="U21" s="6" t="s">
        <v>130</v>
      </c>
      <c r="V21" s="6" t="s">
        <v>131</v>
      </c>
      <c r="W21" s="6" t="s">
        <v>132</v>
      </c>
      <c r="X21" s="6" t="s">
        <v>180</v>
      </c>
      <c r="Y21" s="6">
        <v>82</v>
      </c>
      <c r="Z21" s="6" t="s">
        <v>181</v>
      </c>
      <c r="AA21" s="6" t="s">
        <v>131</v>
      </c>
      <c r="AB21" s="7">
        <f t="shared" si="4"/>
        <v>333960</v>
      </c>
      <c r="AC21" s="8">
        <v>363000</v>
      </c>
      <c r="AD21" s="8">
        <f t="shared" si="5"/>
        <v>46000</v>
      </c>
      <c r="AE21" s="8">
        <v>50000</v>
      </c>
      <c r="AF21" s="8">
        <f t="shared" si="6"/>
        <v>33120</v>
      </c>
      <c r="AG21" s="8">
        <v>36000</v>
      </c>
      <c r="AH21" s="8">
        <f t="shared" si="7"/>
        <v>7360</v>
      </c>
      <c r="AI21" s="8">
        <v>8000</v>
      </c>
      <c r="AJ21" s="8">
        <f t="shared" si="8"/>
        <v>12880</v>
      </c>
      <c r="AK21" s="8">
        <v>14000</v>
      </c>
      <c r="AL21" s="8">
        <f t="shared" si="9"/>
        <v>3680</v>
      </c>
      <c r="AM21" s="8">
        <v>4000</v>
      </c>
      <c r="AN21" s="8">
        <f t="shared" si="10"/>
        <v>4600</v>
      </c>
      <c r="AO21" s="8">
        <v>5000</v>
      </c>
      <c r="AP21" s="8">
        <f t="shared" si="11"/>
        <v>3680</v>
      </c>
      <c r="AQ21" s="8">
        <v>4000</v>
      </c>
      <c r="AR21" s="7">
        <f t="shared" si="12"/>
        <v>445280</v>
      </c>
      <c r="AS21" s="7">
        <f t="shared" si="13"/>
        <v>484000</v>
      </c>
      <c r="AT21" s="9">
        <f t="shared" si="14"/>
        <v>44.527999999999999</v>
      </c>
      <c r="AU21" s="7">
        <f t="shared" si="15"/>
        <v>0</v>
      </c>
      <c r="AV21" s="8">
        <v>0</v>
      </c>
      <c r="AW21" s="6" t="s">
        <v>18</v>
      </c>
      <c r="AX21" s="6" t="s">
        <v>135</v>
      </c>
      <c r="AY21" s="6" t="s">
        <v>131</v>
      </c>
      <c r="AZ21" s="6" t="s">
        <v>134</v>
      </c>
      <c r="BA21" s="7">
        <f t="shared" si="16"/>
        <v>445280</v>
      </c>
      <c r="BB21" s="8">
        <f t="shared" si="17"/>
        <v>484000</v>
      </c>
      <c r="BC21" s="7">
        <f t="shared" si="18"/>
        <v>-45280</v>
      </c>
      <c r="BD21" s="6" t="str">
        <f t="shared" si="19"/>
        <v>超预算</v>
      </c>
      <c r="BE21" s="6" t="s">
        <v>9</v>
      </c>
      <c r="BF21" s="43" t="s">
        <v>104</v>
      </c>
      <c r="BG21" s="43" t="s">
        <v>105</v>
      </c>
      <c r="BH21" s="43" t="s">
        <v>350</v>
      </c>
      <c r="BI21" s="43" t="s">
        <v>107</v>
      </c>
      <c r="BJ21" s="43" t="s">
        <v>351</v>
      </c>
      <c r="BK21" s="6" t="s">
        <v>182</v>
      </c>
      <c r="BL21" s="6" t="s">
        <v>138</v>
      </c>
      <c r="BM21" s="6" t="s">
        <v>183</v>
      </c>
      <c r="BN21" s="6">
        <f>IF($AA21="是",IF(COUNTIFS($B$17:$B21,$B21,$AA$17:$AA21,"是")=1,1,0),0)</f>
        <v>1</v>
      </c>
    </row>
    <row r="22" spans="1:66" ht="72" customHeight="1">
      <c r="A22" s="6" t="s">
        <v>113</v>
      </c>
      <c r="B22" s="6" t="s">
        <v>184</v>
      </c>
      <c r="C22" s="6" t="s">
        <v>185</v>
      </c>
      <c r="D22" s="6" t="s">
        <v>113</v>
      </c>
      <c r="E22" s="6" t="s">
        <v>186</v>
      </c>
      <c r="F22" s="6" t="s">
        <v>187</v>
      </c>
      <c r="G22" s="6" t="s">
        <v>17</v>
      </c>
      <c r="H22" s="6" t="s">
        <v>118</v>
      </c>
      <c r="I22" s="6" t="s">
        <v>119</v>
      </c>
      <c r="J22" s="6">
        <v>12</v>
      </c>
      <c r="K22" s="6" t="s">
        <v>120</v>
      </c>
      <c r="L22" s="6" t="s">
        <v>188</v>
      </c>
      <c r="M22" s="6" t="s">
        <v>122</v>
      </c>
      <c r="N22" s="6" t="s">
        <v>189</v>
      </c>
      <c r="O22" s="6" t="s">
        <v>155</v>
      </c>
      <c r="P22" s="6" t="s">
        <v>125</v>
      </c>
      <c r="Q22" s="6" t="s">
        <v>190</v>
      </c>
      <c r="R22" s="6" t="s">
        <v>178</v>
      </c>
      <c r="S22" s="6" t="s">
        <v>191</v>
      </c>
      <c r="T22" s="6" t="s">
        <v>129</v>
      </c>
      <c r="U22" s="6" t="s">
        <v>192</v>
      </c>
      <c r="V22" s="6" t="s">
        <v>131</v>
      </c>
      <c r="W22" s="6" t="s">
        <v>132</v>
      </c>
      <c r="X22" s="6" t="s">
        <v>180</v>
      </c>
      <c r="Y22" s="6">
        <v>80</v>
      </c>
      <c r="Z22" s="6" t="s">
        <v>181</v>
      </c>
      <c r="AA22" s="6" t="s">
        <v>131</v>
      </c>
      <c r="AB22" s="7">
        <f t="shared" si="4"/>
        <v>402960</v>
      </c>
      <c r="AC22" s="8">
        <v>438000</v>
      </c>
      <c r="AD22" s="8">
        <f t="shared" si="5"/>
        <v>46000</v>
      </c>
      <c r="AE22" s="8">
        <v>50000</v>
      </c>
      <c r="AF22" s="8">
        <f t="shared" si="6"/>
        <v>33120</v>
      </c>
      <c r="AG22" s="8">
        <v>36000</v>
      </c>
      <c r="AH22" s="8">
        <f t="shared" si="7"/>
        <v>7360</v>
      </c>
      <c r="AI22" s="8">
        <v>8000</v>
      </c>
      <c r="AJ22" s="8">
        <f t="shared" si="8"/>
        <v>12880</v>
      </c>
      <c r="AK22" s="8">
        <v>14000</v>
      </c>
      <c r="AL22" s="8">
        <f t="shared" si="9"/>
        <v>3680</v>
      </c>
      <c r="AM22" s="8">
        <v>4000</v>
      </c>
      <c r="AN22" s="8">
        <f t="shared" si="10"/>
        <v>4600</v>
      </c>
      <c r="AO22" s="8">
        <v>5000</v>
      </c>
      <c r="AP22" s="8">
        <f t="shared" si="11"/>
        <v>3680</v>
      </c>
      <c r="AQ22" s="8">
        <v>4000</v>
      </c>
      <c r="AR22" s="7">
        <f t="shared" si="12"/>
        <v>514280</v>
      </c>
      <c r="AS22" s="7">
        <f t="shared" si="13"/>
        <v>559000</v>
      </c>
      <c r="AT22" s="9">
        <f t="shared" si="14"/>
        <v>51.427999999999997</v>
      </c>
      <c r="AU22" s="7">
        <f t="shared" si="15"/>
        <v>40296</v>
      </c>
      <c r="AV22" s="8">
        <v>43800</v>
      </c>
      <c r="AW22" s="6" t="s">
        <v>18</v>
      </c>
      <c r="AX22" s="6" t="s">
        <v>131</v>
      </c>
      <c r="AY22" s="6" t="s">
        <v>131</v>
      </c>
      <c r="AZ22" s="6" t="s">
        <v>134</v>
      </c>
      <c r="BA22" s="7">
        <f t="shared" si="16"/>
        <v>473984</v>
      </c>
      <c r="BB22" s="8">
        <f t="shared" si="17"/>
        <v>515200</v>
      </c>
      <c r="BC22" s="7">
        <f t="shared" si="18"/>
        <v>-73984</v>
      </c>
      <c r="BD22" s="6" t="str">
        <f t="shared" si="19"/>
        <v>超预算</v>
      </c>
      <c r="BE22" s="6" t="s">
        <v>9</v>
      </c>
      <c r="BF22" s="43" t="s">
        <v>104</v>
      </c>
      <c r="BG22" s="43" t="s">
        <v>105</v>
      </c>
      <c r="BH22" s="43" t="s">
        <v>350</v>
      </c>
      <c r="BI22" s="43" t="s">
        <v>107</v>
      </c>
      <c r="BJ22" s="43" t="s">
        <v>351</v>
      </c>
      <c r="BK22" s="6" t="s">
        <v>193</v>
      </c>
      <c r="BL22" s="6" t="s">
        <v>138</v>
      </c>
      <c r="BM22" s="6" t="s">
        <v>194</v>
      </c>
      <c r="BN22" s="6">
        <f>IF($AA22="是",IF(COUNTIFS($B$17:$B22,$B22,$AA$17:$AA22,"是")=1,1,0),0)</f>
        <v>1</v>
      </c>
    </row>
  </sheetData>
  <mergeCells count="30">
    <mergeCell ref="G13:H13"/>
    <mergeCell ref="G14:H14"/>
    <mergeCell ref="I13:J13"/>
    <mergeCell ref="I14:J14"/>
    <mergeCell ref="K13:L13"/>
    <mergeCell ref="K14:L14"/>
    <mergeCell ref="A13:B13"/>
    <mergeCell ref="A14:B14"/>
    <mergeCell ref="C13:D13"/>
    <mergeCell ref="C14:D14"/>
    <mergeCell ref="E13:F13"/>
    <mergeCell ref="E14:F14"/>
    <mergeCell ref="A8:M8"/>
    <mergeCell ref="A10:B10"/>
    <mergeCell ref="A11:B11"/>
    <mergeCell ref="C10:D10"/>
    <mergeCell ref="C11:D11"/>
    <mergeCell ref="E10:F10"/>
    <mergeCell ref="E11:F11"/>
    <mergeCell ref="G10:H10"/>
    <mergeCell ref="G11:H11"/>
    <mergeCell ref="I10:J10"/>
    <mergeCell ref="I11:J11"/>
    <mergeCell ref="K10:L10"/>
    <mergeCell ref="K11:L11"/>
    <mergeCell ref="A1:M1"/>
    <mergeCell ref="E3:M3"/>
    <mergeCell ref="A5:M5"/>
    <mergeCell ref="A6:M6"/>
    <mergeCell ref="A7:M7"/>
  </mergeCells>
  <phoneticPr fontId="20" type="noConversion"/>
  <conditionalFormatting sqref="I17:I22">
    <cfRule type="containsText" dxfId="39" priority="4" operator="containsText" text="1.5年"/>
    <cfRule type="containsText" dxfId="38" priority="5" operator="containsText" text="2年"/>
  </conditionalFormatting>
  <conditionalFormatting sqref="Z17:Z22">
    <cfRule type="containsText" dxfId="37" priority="6" operator="containsText" text="高"/>
    <cfRule type="containsText" dxfId="36" priority="7" operator="containsText" text="低"/>
  </conditionalFormatting>
  <conditionalFormatting sqref="AR17:AR22">
    <cfRule type="cellIs" dxfId="35" priority="1" operator="lessThanOrEqual">
      <formula>400000</formula>
    </cfRule>
    <cfRule type="cellIs" dxfId="34" priority="2" operator="between">
      <formula>400001</formula>
      <formula>440000</formula>
    </cfRule>
    <cfRule type="cellIs" dxfId="33" priority="3" operator="greaterThan">
      <formula>440000</formula>
    </cfRule>
  </conditionalFormatting>
  <conditionalFormatting sqref="AW17:AW22">
    <cfRule type="containsText" dxfId="32" priority="8" operator="containsText" text="自动"/>
    <cfRule type="containsText" dxfId="31" priority="9" operator="containsText" text="单独"/>
    <cfRule type="containsText" dxfId="30" priority="10" operator="containsText" text="待确认"/>
  </conditionalFormatting>
  <dataValidations count="14">
    <dataValidation type="list" sqref="A17:A22" xr:uid="{00000000-0002-0000-0000-000000000000}">
      <formula1>"香港,澳门,英国,新西兰"</formula1>
    </dataValidation>
    <dataValidation type="list" sqref="G17:G22" xr:uid="{00000000-0002-0000-0000-000001000000}">
      <formula1>"经济学,应用经济学,金融学,金融与经济,商业分析,管理学,公共政策,国际政治经济,商法,知识产权法,其他"</formula1>
    </dataValidation>
    <dataValidation type="list" sqref="I17:I22" xr:uid="{00000000-0002-0000-0000-000002000000}">
      <formula1>"1年,1.5年,2年及以上（排除）"</formula1>
    </dataValidation>
    <dataValidation type="list" sqref="T17:T22" xr:uid="{00000000-0002-0000-0000-000003000000}">
      <formula1>"是,否,待确认,是（CET-6≥490）"</formula1>
    </dataValidation>
    <dataValidation type="list" sqref="U17:U22" xr:uid="{00000000-0002-0000-0000-000004000000}">
      <formula1>"不要求,不要求；GMAT/GRE建议提交,不要求（GMAT Verbal可作英语证明）,待确认"</formula1>
    </dataValidation>
    <dataValidation type="list" sqref="V17:V22 AX17:AX22" xr:uid="{00000000-0002-0000-0000-000005000000}">
      <formula1>"是,否,待确认"</formula1>
    </dataValidation>
    <dataValidation type="list" sqref="W17:W22" xr:uid="{00000000-0002-0000-0000-000006000000}">
      <formula1>"是,否,不适用,待确认"</formula1>
    </dataValidation>
    <dataValidation type="list" sqref="X17:X22" xr:uid="{00000000-0002-0000-0000-000007000000}">
      <formula1>"冲刺,匹配,相对稳妥"</formula1>
    </dataValidation>
    <dataValidation type="list" sqref="Z17:Z22" xr:uid="{00000000-0002-0000-0000-000008000000}">
      <formula1>"高,中,低,不建议"</formula1>
    </dataValidation>
    <dataValidation type="list" sqref="AA17:AA22 AY17:AY22" xr:uid="{00000000-0002-0000-0000-000009000000}">
      <formula1>"是,否"</formula1>
    </dataValidation>
    <dataValidation type="list" sqref="AW17:AW22" xr:uid="{00000000-0002-0000-0000-00000A000000}">
      <formula1>"自动随录取审核,需要单独申请,没有明确奖学金,奖学金信息待确认"</formula1>
    </dataValidation>
    <dataValidation type="list" sqref="AZ17:AZ22" xr:uid="{00000000-0002-0000-0000-00000D000000}">
      <formula1>"高,中,低,待确认"</formula1>
    </dataValidation>
    <dataValidation type="list" sqref="BD17:BD22" xr:uid="{00000000-0002-0000-0000-00000E000000}">
      <formula1>"预算内,临界预算,超预算,排除"</formula1>
    </dataValidation>
    <dataValidation type="list" sqref="BL17:BL22" xr:uid="{00000000-0002-0000-0000-00000F000000}">
      <formula1>"无需复核,需在申请前复核2027学费与截止日期,结论已核验；如接受2年制，可另开澳门专项清单"</formula1>
    </dataValidation>
  </dataValidations>
  <hyperlinks>
    <hyperlink ref="BF17" r:id="rId1" tooltip="官方来源：https://ar.hkbu.edu.hk/tpg-admissions/programmes/master-of-science-msc-in-applied-economics" xr:uid="{CCA6C88A-5C24-4184-84BD-FB513589A192}"/>
    <hyperlink ref="BG17" r:id="rId2" tooltip="官方来源：https://ar.hkbu.edu.hk/tpg-admissions/programmes/master-of-science-msc-in-applied-economics" xr:uid="{1F0678C8-0A3A-40AC-BA7C-B121A44334E8}"/>
    <hyperlink ref="BH17" r:id="rId3" tooltip="官方来源：https://ar.hkbu.edu.hk/tpg-admissions/programmes/master-of-science-msc-in-applied-economics" xr:uid="{CEC85678-E9AE-4578-B46A-129064C2E15A}"/>
    <hyperlink ref="BJ17" r:id="rId4" tooltip="官方来源：https://admissions.hku.hk/fees-and-scholarships/fees" xr:uid="{D86C2CCF-0A72-4DAF-A0C5-42DB7039DF74}"/>
    <hyperlink ref="BF18" r:id="rId5" tooltip="官方来源：https://www.cityu.edu.hk/pg/programme/program-list/2026/college-of-business/department-of-economics-and-finance/p13" xr:uid="{FF6F18C3-3E88-4236-BBBD-584B4DDB3DD9}"/>
    <hyperlink ref="BG18" r:id="rId6" tooltip="官方来源：https://www.cityu.edu.hk/sgs/files/fees/tpg/P13/index.htm" xr:uid="{DCD38DF5-6F09-4652-A6A0-3DF6031B1164}"/>
    <hyperlink ref="BH18" r:id="rId7" tooltip="官方来源：https://www.cityu.edu.hk/pg/programme/program-list/2026/college-of-business/department-of-economics-and-finance/p13" xr:uid="{CEA0E8F4-4A47-4F4B-8BC6-FA21A707DD1C}"/>
    <hyperlink ref="BJ18" r:id="rId8" tooltip="官方来源：https://admissions.hku.hk/fees-and-scholarships/fees" xr:uid="{47C72E81-CA43-4A7F-93A9-3F263EAA79FC}"/>
    <hyperlink ref="BF19" r:id="rId9" tooltip="官方来源：https://admission.econ.cuhk.edu.hk/pg/master-economics/" xr:uid="{A0AD6612-C2A8-4D47-91AB-259538B3B9F8}"/>
    <hyperlink ref="BG19" r:id="rId10" tooltip="官方来源：https://www.gs.cuhk.edu.hk/programmes/social-science/msc-economics" xr:uid="{28BE75F0-50D6-4703-BD71-0CD71CF8C00B}"/>
    <hyperlink ref="BH19" r:id="rId11" tooltip="官方来源：https://admission.econ.cuhk.edu.hk/pg/master-economics/" xr:uid="{F0D42F1E-3EDD-42C9-9516-5719E88DEB73}"/>
    <hyperlink ref="BJ19" r:id="rId12" tooltip="官方来源：https://admissions.hku.hk/fees-and-scholarships/fees" xr:uid="{44922814-7AC1-4D9E-9E26-6BC878A64BAA}"/>
    <hyperlink ref="BF20" r:id="rId13" tooltip="官方来源：https://prog-crs.hkust.edu.hk/pgprog/2026-27/msc-econ" xr:uid="{9E752CEE-E7CE-49B1-B3CE-2058E6E93C49}"/>
    <hyperlink ref="BG20" r:id="rId14" tooltip="官方来源：https://mscecon.hkust.edu.hk/node/140" xr:uid="{AC4DB6CB-2DE3-4D3D-A190-CE06397F9CCF}"/>
    <hyperlink ref="BH20" r:id="rId15" tooltip="官方来源：https://prog-crs.hkust.edu.hk/pgprog/2026-27/msc-econ" xr:uid="{07EFE21D-4CBC-4D6A-B485-D98A49A1A3A9}"/>
    <hyperlink ref="BI20" r:id="rId16" tooltip="官方来源：https://mscecon.hkust.edu.hk/news/priority-round-msc-programs-202728-intake-apply-early-and-get-ahead" xr:uid="{1B36283E-7EB7-4078-B3D1-31EF98CAB3E1}"/>
    <hyperlink ref="BJ20" r:id="rId17" tooltip="官方来源：https://admissions.hku.hk/fees-and-scholarships/fees" xr:uid="{2E232526-2320-485D-866C-A555E58F2C01}"/>
    <hyperlink ref="BF21" r:id="rId18" tooltip="官方来源：https://www.polyu.edu.hk/study/pg/tpg/2026/21055-aem-dem" xr:uid="{7E92F33D-A37B-4C54-BE14-3D463A680A48}"/>
    <hyperlink ref="BG21" r:id="rId19" tooltip="官方来源：https://www.polyu.edu.hk/study/pg/tpg/2026/21055-aem-dem" xr:uid="{4F26F1B0-FF1F-407F-90C8-D9813D28DAF1}"/>
    <hyperlink ref="BH21" r:id="rId20" tooltip="官方来源：https://www.polyu.edu.hk/study/pg/tpg/2026/21055-aem-dem" xr:uid="{97EB721D-9C6E-4005-A99F-7C16A6D74E6A}"/>
    <hyperlink ref="BI21" r:id="rId21" tooltip="官方来源：https://www.polyu.edu.hk/study/pg/tpg/2026/21055-aem-dem" xr:uid="{FC08358D-F677-4AE2-BEBD-C70DCB828E2B}"/>
    <hyperlink ref="BJ21" r:id="rId22" tooltip="官方来源：https://admissions.hku.hk/fees-and-scholarships/fees" xr:uid="{F47737C9-6A8B-4452-AB79-275F2DE9119D}"/>
    <hyperlink ref="BF22" r:id="rId23" tooltip="官方来源：https://masters.hkubs.hku.hk/admissions/" xr:uid="{CFCACFF9-00DD-44BA-93D6-177201ADD3DD}"/>
    <hyperlink ref="BG22" r:id="rId24" tooltip="官方来源：https://masters.hkubs.hku.hk/admissions/" xr:uid="{22D37770-2A10-4299-9252-B55C2990ED79}"/>
    <hyperlink ref="BH22" r:id="rId25" tooltip="官方来源：https://masters.hkubs.hku.hk/admissions/" xr:uid="{67D912FB-80A2-4D4F-B41E-F3F2C51FD0BC}"/>
    <hyperlink ref="BI22" r:id="rId26" tooltip="官方来源：https://masters.hkubs.hku.hk/admissions/" xr:uid="{B9E6B4C7-A0AF-43BF-B15E-110D04B0BD3F}"/>
    <hyperlink ref="BJ22" r:id="rId27" tooltip="官方来源：https://admissions.hku.hk/fees-and-scholarships/fees" xr:uid="{D0ED5CD3-2D9F-48FB-ACEF-539E2888BB98}"/>
  </hyperlinks>
  <pageMargins left="0.7" right="0.7" top="0.75" bottom="0.75" header="0.3" footer="0.3"/>
  <drawing r:id="rId28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17"/>
  <sheetViews>
    <sheetView showGridLines="0" workbookViewId="0">
      <pane xSplit="5" ySplit="16" topLeftCell="F17" activePane="bottomRight" state="frozenSplit"/>
      <selection pane="bottomLeft" activeCell="A17" sqref="A17"/>
      <selection pane="topRight" activeCell="F1" sqref="F1"/>
      <selection pane="bottomRight" sqref="A1:M1"/>
    </sheetView>
  </sheetViews>
  <sheetFormatPr defaultRowHeight="14"/>
  <cols>
    <col min="1" max="1" width="10" customWidth="1"/>
    <col min="2" max="2" width="18" customWidth="1"/>
    <col min="3" max="3" width="11" customWidth="1"/>
    <col min="4" max="4" width="15" customWidth="1"/>
    <col min="5" max="5" width="32" customWidth="1"/>
    <col min="6" max="6" width="20" customWidth="1"/>
    <col min="7" max="7" width="13" customWidth="1"/>
    <col min="8" max="8" width="10" customWidth="1"/>
    <col min="9" max="9" width="12" customWidth="1"/>
    <col min="10" max="10" width="9" customWidth="1"/>
    <col min="11" max="11" width="10" customWidth="1"/>
    <col min="12" max="12" width="12" customWidth="1"/>
    <col min="13" max="13" width="24" customWidth="1"/>
    <col min="14" max="15" width="22" customWidth="1"/>
    <col min="16" max="16" width="18" customWidth="1"/>
    <col min="17" max="17" width="28" customWidth="1"/>
    <col min="18" max="18" width="34" customWidth="1"/>
    <col min="19" max="19" width="25" customWidth="1"/>
    <col min="20" max="20" width="18" customWidth="1"/>
    <col min="21" max="21" width="24" customWidth="1"/>
    <col min="22" max="23" width="14" customWidth="1"/>
    <col min="24" max="24" width="12" customWidth="1"/>
    <col min="25" max="25" width="10" customWidth="1"/>
    <col min="26" max="27" width="12" customWidth="1"/>
    <col min="28" max="28" width="14" customWidth="1"/>
    <col min="29" max="29" width="13" customWidth="1"/>
    <col min="30" max="30" width="14" customWidth="1"/>
    <col min="31" max="31" width="13" customWidth="1"/>
    <col min="32" max="32" width="14" customWidth="1"/>
    <col min="33" max="33" width="13" customWidth="1"/>
    <col min="34" max="34" width="14" customWidth="1"/>
    <col min="35" max="35" width="13" customWidth="1"/>
    <col min="36" max="36" width="14" customWidth="1"/>
    <col min="37" max="37" width="13" customWidth="1"/>
    <col min="38" max="38" width="16" customWidth="1"/>
    <col min="39" max="39" width="14" customWidth="1"/>
    <col min="40" max="40" width="18" customWidth="1"/>
    <col min="41" max="42" width="16" customWidth="1"/>
    <col min="43" max="43" width="14" customWidth="1"/>
    <col min="44" max="45" width="16" customWidth="1"/>
    <col min="46" max="46" width="13" customWidth="1"/>
    <col min="47" max="47" width="15" customWidth="1"/>
    <col min="48" max="48" width="14" customWidth="1"/>
    <col min="49" max="49" width="20" customWidth="1"/>
    <col min="50" max="50" width="14" customWidth="1"/>
    <col min="51" max="51" width="16" customWidth="1"/>
    <col min="52" max="52" width="14" customWidth="1"/>
    <col min="53" max="54" width="16" customWidth="1"/>
    <col min="55" max="55" width="18" customWidth="1"/>
    <col min="56" max="56" width="13" customWidth="1"/>
    <col min="57" max="57" width="12" customWidth="1"/>
    <col min="58" max="60" width="16" customWidth="1"/>
    <col min="61" max="61" width="18" customWidth="1"/>
    <col min="62" max="62" width="20" customWidth="1"/>
    <col min="63" max="63" width="44" customWidth="1"/>
    <col min="64" max="64" width="28" customWidth="1"/>
    <col min="65" max="65" width="38" customWidth="1"/>
    <col min="66" max="66" width="13" customWidth="1"/>
  </cols>
  <sheetData>
    <row r="1" spans="1:80" ht="34" customHeight="1">
      <c r="A1" s="34" t="s">
        <v>195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BP1" s="11" t="s">
        <v>1</v>
      </c>
      <c r="BQ1" s="11" t="s">
        <v>2</v>
      </c>
      <c r="BR1" s="11" t="s">
        <v>3</v>
      </c>
      <c r="BS1" s="11"/>
      <c r="BT1" s="11"/>
      <c r="BU1" s="11" t="s">
        <v>4</v>
      </c>
      <c r="BV1" s="11" t="s">
        <v>5</v>
      </c>
      <c r="BW1" s="11"/>
      <c r="BX1" s="11" t="s">
        <v>6</v>
      </c>
      <c r="BY1" s="11" t="s">
        <v>5</v>
      </c>
      <c r="BZ1" s="11"/>
      <c r="CA1" s="11" t="s">
        <v>7</v>
      </c>
      <c r="CB1" s="11" t="s">
        <v>5</v>
      </c>
    </row>
    <row r="2" spans="1:80">
      <c r="A2" s="13" t="s">
        <v>8</v>
      </c>
      <c r="B2" s="1" t="s">
        <v>9</v>
      </c>
      <c r="C2" s="1"/>
      <c r="D2" s="13" t="s">
        <v>10</v>
      </c>
      <c r="E2" s="1">
        <v>2027</v>
      </c>
      <c r="F2" s="1"/>
      <c r="G2" s="13" t="s">
        <v>11</v>
      </c>
      <c r="H2" s="4">
        <v>0.89</v>
      </c>
      <c r="I2" s="1" t="s">
        <v>12</v>
      </c>
      <c r="J2" s="1" t="s">
        <v>196</v>
      </c>
      <c r="K2" s="1" t="s">
        <v>14</v>
      </c>
      <c r="L2" s="1" t="s">
        <v>15</v>
      </c>
      <c r="M2" s="1"/>
      <c r="BP2" s="11" t="str">
        <f>IF($AA17="是",$C17&amp;"-"&amp;$F17,"无符合条件项目")</f>
        <v>无符合条件项目</v>
      </c>
      <c r="BQ2" s="12">
        <f>IF($AA17="是",$AT17,0)</f>
        <v>0</v>
      </c>
      <c r="BR2" s="12">
        <f>$B$3/10000</f>
        <v>40</v>
      </c>
      <c r="BS2" s="11"/>
      <c r="BT2" s="11"/>
      <c r="BU2" s="11" t="s">
        <v>16</v>
      </c>
      <c r="BV2" s="11">
        <f>COUNTIFS($AA$17:$AA$17,"是",$BD$17:$BD$17,$BU2)</f>
        <v>0</v>
      </c>
      <c r="BW2" s="11"/>
      <c r="BX2" s="11" t="s">
        <v>17</v>
      </c>
      <c r="BY2" s="11">
        <f t="shared" ref="BY2:BY12" si="0">COUNTIFS($AA$17:$AA$17,"是",$G$17:$G$17,$BX2)</f>
        <v>0</v>
      </c>
      <c r="BZ2" s="11"/>
      <c r="CA2" s="11" t="s">
        <v>18</v>
      </c>
      <c r="CB2" s="11">
        <f>COUNTIFS($AA$17:$AA$17,"是",$AW$17:$AW$17,$CA2)</f>
        <v>0</v>
      </c>
    </row>
    <row r="3" spans="1:80">
      <c r="A3" s="13" t="s">
        <v>19</v>
      </c>
      <c r="B3" s="3">
        <v>400000</v>
      </c>
      <c r="C3" s="1"/>
      <c r="D3" s="13" t="s">
        <v>20</v>
      </c>
      <c r="E3" s="17" t="s">
        <v>21</v>
      </c>
      <c r="F3" s="17"/>
      <c r="G3" s="17"/>
      <c r="H3" s="17"/>
      <c r="I3" s="17"/>
      <c r="J3" s="17"/>
      <c r="K3" s="17"/>
      <c r="L3" s="17"/>
      <c r="M3" s="17"/>
      <c r="BP3" s="11"/>
      <c r="BQ3" s="12"/>
      <c r="BR3" s="12"/>
      <c r="BS3" s="11"/>
      <c r="BT3" s="11"/>
      <c r="BU3" s="11" t="s">
        <v>22</v>
      </c>
      <c r="BV3" s="11">
        <f>COUNTIFS($AA$17:$AA$17,"是",$BD$17:$BD$17,$BU3)</f>
        <v>0</v>
      </c>
      <c r="BW3" s="11"/>
      <c r="BX3" s="11" t="s">
        <v>23</v>
      </c>
      <c r="BY3" s="11">
        <f t="shared" si="0"/>
        <v>0</v>
      </c>
      <c r="BZ3" s="11"/>
      <c r="CA3" s="11" t="s">
        <v>24</v>
      </c>
      <c r="CB3" s="11">
        <f>COUNTIFS($AA$17:$AA$17,"是",$AW$17:$AW$17,$CA3)</f>
        <v>0</v>
      </c>
    </row>
    <row r="4" spans="1:80">
      <c r="BP4" s="11"/>
      <c r="BQ4" s="12"/>
      <c r="BR4" s="12"/>
      <c r="BS4" s="11"/>
      <c r="BT4" s="11"/>
      <c r="BU4" s="11" t="s">
        <v>25</v>
      </c>
      <c r="BV4" s="11">
        <f>COUNTIFS($AA$17:$AA$17,"是",$BD$17:$BD$17,$BU4)</f>
        <v>0</v>
      </c>
      <c r="BW4" s="11"/>
      <c r="BX4" s="11" t="s">
        <v>26</v>
      </c>
      <c r="BY4" s="11">
        <f t="shared" si="0"/>
        <v>0</v>
      </c>
      <c r="BZ4" s="11"/>
      <c r="CA4" s="11" t="s">
        <v>27</v>
      </c>
      <c r="CB4" s="11">
        <f>COUNTIFS($AA$17:$AA$17,"是",$AW$17:$AW$17,$CA4)</f>
        <v>0</v>
      </c>
    </row>
    <row r="5" spans="1:80">
      <c r="A5" s="18" t="s">
        <v>28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BP5" s="11"/>
      <c r="BQ5" s="12"/>
      <c r="BR5" s="12"/>
      <c r="BS5" s="11"/>
      <c r="BT5" s="11"/>
      <c r="BU5" s="11"/>
      <c r="BV5" s="11"/>
      <c r="BW5" s="11"/>
      <c r="BX5" s="11" t="s">
        <v>29</v>
      </c>
      <c r="BY5" s="11">
        <f t="shared" si="0"/>
        <v>0</v>
      </c>
      <c r="BZ5" s="11"/>
      <c r="CA5" s="11" t="s">
        <v>30</v>
      </c>
      <c r="CB5" s="11">
        <f>COUNTIFS($AA$17:$AA$17,"是",$AW$17:$AW$17,$CA5)</f>
        <v>0</v>
      </c>
    </row>
    <row r="6" spans="1:80">
      <c r="A6" s="19" t="s">
        <v>31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BP6" s="11"/>
      <c r="BQ6" s="12"/>
      <c r="BR6" s="12"/>
      <c r="BS6" s="11"/>
      <c r="BT6" s="11"/>
      <c r="BU6" s="11"/>
      <c r="BV6" s="11"/>
      <c r="BW6" s="11"/>
      <c r="BX6" s="11" t="s">
        <v>32</v>
      </c>
      <c r="BY6" s="11">
        <f t="shared" si="0"/>
        <v>0</v>
      </c>
      <c r="BZ6" s="11"/>
      <c r="CA6" s="11"/>
      <c r="CB6" s="11"/>
    </row>
    <row r="7" spans="1:80">
      <c r="A7" s="22" t="s">
        <v>33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  <c r="BP7" s="11"/>
      <c r="BQ7" s="12"/>
      <c r="BR7" s="12"/>
      <c r="BS7" s="11"/>
      <c r="BT7" s="11"/>
      <c r="BU7" s="11"/>
      <c r="BV7" s="11"/>
      <c r="BW7" s="11"/>
      <c r="BX7" s="11" t="s">
        <v>34</v>
      </c>
      <c r="BY7" s="11">
        <f t="shared" si="0"/>
        <v>0</v>
      </c>
      <c r="BZ7" s="11"/>
      <c r="CA7" s="11"/>
      <c r="CB7" s="11"/>
    </row>
    <row r="8" spans="1:80">
      <c r="A8" s="25" t="s">
        <v>197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BP8" s="11"/>
      <c r="BQ8" s="12"/>
      <c r="BR8" s="12"/>
      <c r="BS8" s="11"/>
      <c r="BT8" s="11"/>
      <c r="BU8" s="11"/>
      <c r="BV8" s="11"/>
      <c r="BW8" s="11"/>
      <c r="BX8" s="11" t="s">
        <v>36</v>
      </c>
      <c r="BY8" s="11">
        <f t="shared" si="0"/>
        <v>0</v>
      </c>
      <c r="BZ8" s="11"/>
      <c r="CA8" s="11"/>
      <c r="CB8" s="11"/>
    </row>
    <row r="9" spans="1:80">
      <c r="BP9" s="11"/>
      <c r="BQ9" s="12"/>
      <c r="BR9" s="12"/>
      <c r="BS9" s="11"/>
      <c r="BT9" s="11"/>
      <c r="BU9" s="11"/>
      <c r="BV9" s="11"/>
      <c r="BW9" s="11"/>
      <c r="BX9" s="11" t="s">
        <v>37</v>
      </c>
      <c r="BY9" s="11">
        <f t="shared" si="0"/>
        <v>0</v>
      </c>
      <c r="BZ9" s="11"/>
      <c r="CA9" s="11"/>
      <c r="CB9" s="11"/>
    </row>
    <row r="10" spans="1:80">
      <c r="A10" s="35" t="s">
        <v>38</v>
      </c>
      <c r="B10" s="35"/>
      <c r="C10" s="36" t="s">
        <v>39</v>
      </c>
      <c r="D10" s="36"/>
      <c r="E10" s="35" t="s">
        <v>16</v>
      </c>
      <c r="F10" s="35"/>
      <c r="G10" s="36" t="s">
        <v>22</v>
      </c>
      <c r="H10" s="36"/>
      <c r="I10" s="35" t="s">
        <v>25</v>
      </c>
      <c r="J10" s="35"/>
      <c r="K10" s="36" t="s">
        <v>40</v>
      </c>
      <c r="L10" s="36"/>
      <c r="BP10" s="11"/>
      <c r="BQ10" s="12"/>
      <c r="BR10" s="12"/>
      <c r="BS10" s="11"/>
      <c r="BT10" s="11"/>
      <c r="BU10" s="11"/>
      <c r="BV10" s="11"/>
      <c r="BW10" s="11"/>
      <c r="BX10" s="11" t="s">
        <v>41</v>
      </c>
      <c r="BY10" s="11">
        <f t="shared" si="0"/>
        <v>0</v>
      </c>
      <c r="BZ10" s="11"/>
      <c r="CA10" s="11"/>
      <c r="CB10" s="11"/>
    </row>
    <row r="11" spans="1:80" ht="18">
      <c r="A11" s="29">
        <f>SUM($BN$17:$BN$17)</f>
        <v>0</v>
      </c>
      <c r="B11" s="29"/>
      <c r="C11" s="31">
        <f>COUNTIF($AA$17:$AA$17,"是")</f>
        <v>0</v>
      </c>
      <c r="D11" s="31"/>
      <c r="E11" s="29">
        <f>COUNTIFS($AA$17:$AA$17,"是",$BD$17:$BD$17,"预算内")</f>
        <v>0</v>
      </c>
      <c r="F11" s="29"/>
      <c r="G11" s="31">
        <f>COUNTIFS($AA$17:$AA$17,"是",$BD$17:$BD$17,"临界预算")</f>
        <v>0</v>
      </c>
      <c r="H11" s="31"/>
      <c r="I11" s="29">
        <f>COUNTIFS($AA$17:$AA$17,"是",$BD$17:$BD$17,"超预算")</f>
        <v>0</v>
      </c>
      <c r="J11" s="29"/>
      <c r="K11" s="31">
        <f>COUNTIFS($AA$17:$AA$17,"是",$AX$17:$AX$17,"是")</f>
        <v>0</v>
      </c>
      <c r="L11" s="31"/>
      <c r="BP11" s="11"/>
      <c r="BQ11" s="12"/>
      <c r="BR11" s="12"/>
      <c r="BS11" s="11"/>
      <c r="BT11" s="11"/>
      <c r="BU11" s="11"/>
      <c r="BV11" s="11"/>
      <c r="BW11" s="11"/>
      <c r="BX11" s="11" t="s">
        <v>42</v>
      </c>
      <c r="BY11" s="11">
        <f t="shared" si="0"/>
        <v>0</v>
      </c>
      <c r="BZ11" s="11"/>
      <c r="CA11" s="11"/>
      <c r="CB11" s="11"/>
    </row>
    <row r="12" spans="1:80">
      <c r="BP12" s="11"/>
      <c r="BQ12" s="11"/>
      <c r="BR12" s="11"/>
      <c r="BS12" s="11"/>
      <c r="BT12" s="11"/>
      <c r="BU12" s="11"/>
      <c r="BV12" s="11"/>
      <c r="BW12" s="11"/>
      <c r="BX12" s="11" t="s">
        <v>43</v>
      </c>
      <c r="BY12" s="11">
        <f t="shared" si="0"/>
        <v>0</v>
      </c>
      <c r="BZ12" s="11"/>
      <c r="CA12" s="11"/>
      <c r="CB12" s="11"/>
    </row>
    <row r="13" spans="1:80">
      <c r="A13" s="35" t="s">
        <v>44</v>
      </c>
      <c r="B13" s="35"/>
      <c r="C13" s="36" t="s">
        <v>45</v>
      </c>
      <c r="D13" s="36"/>
      <c r="E13" s="35" t="s">
        <v>46</v>
      </c>
      <c r="F13" s="35"/>
      <c r="G13" s="36" t="s">
        <v>47</v>
      </c>
      <c r="H13" s="36"/>
      <c r="I13" s="35" t="s">
        <v>48</v>
      </c>
      <c r="J13" s="35"/>
      <c r="K13" s="36" t="s">
        <v>49</v>
      </c>
      <c r="L13" s="36"/>
    </row>
    <row r="14" spans="1:80" ht="18">
      <c r="A14" s="29">
        <f>COUNTIFS($AA$17:$AA$17,"是",$AY$17:$AY$17,"是")</f>
        <v>0</v>
      </c>
      <c r="B14" s="29"/>
      <c r="C14" s="31">
        <f>COUNTIFS($AA$17:$AA$17,"是",$I$17:$I$17,"1年")</f>
        <v>0</v>
      </c>
      <c r="D14" s="31"/>
      <c r="E14" s="29">
        <f>COUNTIFS($AA$17:$AA$17,"是",$I$17:$I$17,"1.5年")</f>
        <v>0</v>
      </c>
      <c r="F14" s="29"/>
      <c r="G14" s="32">
        <f>IFERROR(SUMIFS($AR$17:$AR$17,$AA$17:$AA$17,"是")/COUNTIF($AA$17:$AA$17,"是")/10000,0)</f>
        <v>0</v>
      </c>
      <c r="H14" s="31"/>
      <c r="I14" s="33">
        <f>IF(COUNTIF($AA$17:$AA$17,"是")=0,0,MIN($AR$17:$AR$17)/10000)</f>
        <v>0</v>
      </c>
      <c r="J14" s="29"/>
      <c r="K14" s="32">
        <f>IF(COUNTIF($AA$17:$AA$17,"是")=0,0,MAX($AR$17:$AR$17)/10000)</f>
        <v>0</v>
      </c>
      <c r="L14" s="31"/>
    </row>
    <row r="16" spans="1:80" ht="42" customHeight="1">
      <c r="A16" s="5" t="s">
        <v>50</v>
      </c>
      <c r="B16" s="5" t="s">
        <v>51</v>
      </c>
      <c r="C16" s="5" t="s">
        <v>52</v>
      </c>
      <c r="D16" s="5" t="s">
        <v>53</v>
      </c>
      <c r="E16" s="5" t="s">
        <v>54</v>
      </c>
      <c r="F16" s="5" t="s">
        <v>55</v>
      </c>
      <c r="G16" s="5" t="s">
        <v>6</v>
      </c>
      <c r="H16" s="5" t="s">
        <v>56</v>
      </c>
      <c r="I16" s="5" t="s">
        <v>57</v>
      </c>
      <c r="J16" s="5" t="s">
        <v>58</v>
      </c>
      <c r="K16" s="5" t="s">
        <v>59</v>
      </c>
      <c r="L16" s="5" t="s">
        <v>60</v>
      </c>
      <c r="M16" s="5" t="s">
        <v>61</v>
      </c>
      <c r="N16" s="5" t="s">
        <v>62</v>
      </c>
      <c r="O16" s="5" t="s">
        <v>63</v>
      </c>
      <c r="P16" s="5" t="s">
        <v>64</v>
      </c>
      <c r="Q16" s="5" t="s">
        <v>65</v>
      </c>
      <c r="R16" s="5" t="s">
        <v>66</v>
      </c>
      <c r="S16" s="5" t="s">
        <v>67</v>
      </c>
      <c r="T16" s="5" t="s">
        <v>68</v>
      </c>
      <c r="U16" s="5" t="s">
        <v>69</v>
      </c>
      <c r="V16" s="5" t="s">
        <v>70</v>
      </c>
      <c r="W16" s="5" t="s">
        <v>71</v>
      </c>
      <c r="X16" s="5" t="s">
        <v>72</v>
      </c>
      <c r="Y16" s="5" t="s">
        <v>73</v>
      </c>
      <c r="Z16" s="5" t="s">
        <v>74</v>
      </c>
      <c r="AA16" s="5" t="s">
        <v>75</v>
      </c>
      <c r="AB16" s="5" t="s">
        <v>76</v>
      </c>
      <c r="AC16" s="5" t="s">
        <v>77</v>
      </c>
      <c r="AD16" s="5" t="s">
        <v>78</v>
      </c>
      <c r="AE16" s="5" t="s">
        <v>79</v>
      </c>
      <c r="AF16" s="5" t="s">
        <v>80</v>
      </c>
      <c r="AG16" s="5" t="s">
        <v>81</v>
      </c>
      <c r="AH16" s="5" t="s">
        <v>82</v>
      </c>
      <c r="AI16" s="5" t="s">
        <v>83</v>
      </c>
      <c r="AJ16" s="5" t="s">
        <v>84</v>
      </c>
      <c r="AK16" s="5" t="s">
        <v>85</v>
      </c>
      <c r="AL16" s="5" t="s">
        <v>86</v>
      </c>
      <c r="AM16" s="5" t="s">
        <v>87</v>
      </c>
      <c r="AN16" s="5" t="s">
        <v>88</v>
      </c>
      <c r="AO16" s="5" t="s">
        <v>89</v>
      </c>
      <c r="AP16" s="5" t="s">
        <v>90</v>
      </c>
      <c r="AQ16" s="5" t="s">
        <v>91</v>
      </c>
      <c r="AR16" s="5" t="s">
        <v>92</v>
      </c>
      <c r="AS16" s="5" t="s">
        <v>93</v>
      </c>
      <c r="AT16" s="5" t="s">
        <v>94</v>
      </c>
      <c r="AU16" s="5" t="s">
        <v>95</v>
      </c>
      <c r="AV16" s="5" t="s">
        <v>96</v>
      </c>
      <c r="AW16" s="5" t="s">
        <v>7</v>
      </c>
      <c r="AX16" s="5" t="s">
        <v>97</v>
      </c>
      <c r="AY16" s="5" t="s">
        <v>98</v>
      </c>
      <c r="AZ16" s="5" t="s">
        <v>99</v>
      </c>
      <c r="BA16" s="5" t="s">
        <v>100</v>
      </c>
      <c r="BB16" s="5" t="s">
        <v>101</v>
      </c>
      <c r="BC16" s="5" t="s">
        <v>102</v>
      </c>
      <c r="BD16" s="5" t="s">
        <v>4</v>
      </c>
      <c r="BE16" s="5" t="s">
        <v>103</v>
      </c>
      <c r="BF16" s="5" t="s">
        <v>104</v>
      </c>
      <c r="BG16" s="5" t="s">
        <v>105</v>
      </c>
      <c r="BH16" s="5" t="s">
        <v>106</v>
      </c>
      <c r="BI16" s="5" t="s">
        <v>107</v>
      </c>
      <c r="BJ16" s="5" t="s">
        <v>108</v>
      </c>
      <c r="BK16" s="5" t="s">
        <v>109</v>
      </c>
      <c r="BL16" s="5" t="s">
        <v>110</v>
      </c>
      <c r="BM16" s="5" t="s">
        <v>111</v>
      </c>
      <c r="BN16" s="5" t="s">
        <v>112</v>
      </c>
    </row>
    <row r="17" spans="1:66" ht="72" customHeight="1">
      <c r="A17" s="6" t="s">
        <v>198</v>
      </c>
      <c r="B17" s="6" t="s">
        <v>199</v>
      </c>
      <c r="C17" s="6" t="s">
        <v>200</v>
      </c>
      <c r="D17" s="6" t="s">
        <v>198</v>
      </c>
      <c r="E17" s="6" t="s">
        <v>201</v>
      </c>
      <c r="F17" s="6" t="s">
        <v>202</v>
      </c>
      <c r="G17" s="6" t="s">
        <v>43</v>
      </c>
      <c r="H17" s="6" t="s">
        <v>199</v>
      </c>
      <c r="I17" s="6" t="s">
        <v>203</v>
      </c>
      <c r="J17" s="6">
        <v>24</v>
      </c>
      <c r="K17" s="6" t="s">
        <v>120</v>
      </c>
      <c r="L17" s="6" t="s">
        <v>199</v>
      </c>
      <c r="M17" s="6" t="s">
        <v>199</v>
      </c>
      <c r="N17" s="6" t="s">
        <v>199</v>
      </c>
      <c r="O17" s="6" t="s">
        <v>199</v>
      </c>
      <c r="P17" s="6" t="s">
        <v>204</v>
      </c>
      <c r="Q17" s="6" t="s">
        <v>199</v>
      </c>
      <c r="R17" s="6" t="s">
        <v>199</v>
      </c>
      <c r="S17" s="6" t="s">
        <v>199</v>
      </c>
      <c r="T17" s="6" t="s">
        <v>135</v>
      </c>
      <c r="U17" s="6" t="s">
        <v>135</v>
      </c>
      <c r="V17" s="6" t="s">
        <v>131</v>
      </c>
      <c r="W17" s="6" t="s">
        <v>132</v>
      </c>
      <c r="X17" s="6" t="s">
        <v>180</v>
      </c>
      <c r="Y17" s="6">
        <v>0</v>
      </c>
      <c r="Z17" s="6" t="s">
        <v>205</v>
      </c>
      <c r="AA17" s="6" t="s">
        <v>129</v>
      </c>
      <c r="AB17" s="7">
        <f>ROUND($AC17*$H$2,0)</f>
        <v>0</v>
      </c>
      <c r="AC17" s="8">
        <v>0</v>
      </c>
      <c r="AD17" s="8">
        <f>ROUND($AE17*$H$2,0)</f>
        <v>0</v>
      </c>
      <c r="AE17" s="8">
        <v>0</v>
      </c>
      <c r="AF17" s="8">
        <f>ROUND($AG17*$H$2,0)</f>
        <v>0</v>
      </c>
      <c r="AG17" s="8">
        <v>0</v>
      </c>
      <c r="AH17" s="8">
        <f>ROUND($AI17*$H$2,0)</f>
        <v>0</v>
      </c>
      <c r="AI17" s="8">
        <v>0</v>
      </c>
      <c r="AJ17" s="8">
        <f>ROUND($AK17*$H$2,0)</f>
        <v>0</v>
      </c>
      <c r="AK17" s="8">
        <v>0</v>
      </c>
      <c r="AL17" s="8">
        <f>ROUND($AM17*$H$2,0)</f>
        <v>0</v>
      </c>
      <c r="AM17" s="8">
        <v>0</v>
      </c>
      <c r="AN17" s="8">
        <f>ROUND($AO17*$H$2,0)</f>
        <v>0</v>
      </c>
      <c r="AO17" s="8">
        <v>0</v>
      </c>
      <c r="AP17" s="8">
        <f>ROUND($AQ17*$H$2,0)</f>
        <v>0</v>
      </c>
      <c r="AQ17" s="8">
        <v>0</v>
      </c>
      <c r="AR17" s="7">
        <f>SUM($AB17,$AD17,$AF17,$AH17,$AJ17,$AL17,$AN17,$AP17)</f>
        <v>0</v>
      </c>
      <c r="AS17" s="7">
        <f>SUM($AC17,$AE17,$AG17,$AI17,$AK17,$AM17,$AO17,$AQ17)</f>
        <v>0</v>
      </c>
      <c r="AT17" s="9">
        <f>$AR17/10000</f>
        <v>0</v>
      </c>
      <c r="AU17" s="7">
        <f>ROUND($AV17*$H$2,0)</f>
        <v>0</v>
      </c>
      <c r="AV17" s="8">
        <v>0</v>
      </c>
      <c r="AW17" s="6" t="s">
        <v>27</v>
      </c>
      <c r="AX17" s="6" t="s">
        <v>129</v>
      </c>
      <c r="AY17" s="6" t="s">
        <v>129</v>
      </c>
      <c r="AZ17" s="6" t="s">
        <v>135</v>
      </c>
      <c r="BA17" s="7">
        <f>MAX(0,$AR17-$AU17)</f>
        <v>0</v>
      </c>
      <c r="BB17" s="8">
        <f>MAX(0,$AS17-$AV17)</f>
        <v>0</v>
      </c>
      <c r="BC17" s="7">
        <f>$B$3-$BA17</f>
        <v>400000</v>
      </c>
      <c r="BD17" s="6" t="str">
        <f>IF($AA17&lt;&gt;"是","排除",IF($AR17&lt;=$B$3,"预算内",IF($AR17&lt;=$B$3*1.1,"临界预算","超预算")))</f>
        <v>排除</v>
      </c>
      <c r="BE17" s="6" t="s">
        <v>9</v>
      </c>
      <c r="BF17" s="43" t="s">
        <v>104</v>
      </c>
      <c r="BG17" s="43" t="s">
        <v>105</v>
      </c>
      <c r="BH17" s="43" t="s">
        <v>350</v>
      </c>
      <c r="BI17" s="10" t="s">
        <v>136</v>
      </c>
      <c r="BJ17" s="43" t="s">
        <v>351</v>
      </c>
      <c r="BK17" s="6" t="s">
        <v>206</v>
      </c>
      <c r="BL17" s="6" t="s">
        <v>207</v>
      </c>
      <c r="BM17" s="6" t="s">
        <v>208</v>
      </c>
      <c r="BN17" s="6">
        <f>IF($AA17="是",IF(COUNTIFS($B$17:$B17,$B17,$AA$17:$AA17,"是")=1,1,0),0)</f>
        <v>0</v>
      </c>
    </row>
  </sheetData>
  <mergeCells count="30">
    <mergeCell ref="G13:H13"/>
    <mergeCell ref="G14:H14"/>
    <mergeCell ref="I13:J13"/>
    <mergeCell ref="I14:J14"/>
    <mergeCell ref="K13:L13"/>
    <mergeCell ref="K14:L14"/>
    <mergeCell ref="A13:B13"/>
    <mergeCell ref="A14:B14"/>
    <mergeCell ref="C13:D13"/>
    <mergeCell ref="C14:D14"/>
    <mergeCell ref="E13:F13"/>
    <mergeCell ref="E14:F14"/>
    <mergeCell ref="A8:M8"/>
    <mergeCell ref="A10:B10"/>
    <mergeCell ref="A11:B11"/>
    <mergeCell ref="C10:D10"/>
    <mergeCell ref="C11:D11"/>
    <mergeCell ref="E10:F10"/>
    <mergeCell ref="E11:F11"/>
    <mergeCell ref="G10:H10"/>
    <mergeCell ref="G11:H11"/>
    <mergeCell ref="I10:J10"/>
    <mergeCell ref="I11:J11"/>
    <mergeCell ref="K10:L10"/>
    <mergeCell ref="K11:L11"/>
    <mergeCell ref="A1:M1"/>
    <mergeCell ref="E3:M3"/>
    <mergeCell ref="A5:M5"/>
    <mergeCell ref="A6:M6"/>
    <mergeCell ref="A7:M7"/>
  </mergeCells>
  <phoneticPr fontId="20" type="noConversion"/>
  <conditionalFormatting sqref="I17">
    <cfRule type="containsText" dxfId="29" priority="4" operator="containsText" text="1.5年"/>
    <cfRule type="containsText" dxfId="28" priority="5" operator="containsText" text="2年"/>
  </conditionalFormatting>
  <conditionalFormatting sqref="Z17">
    <cfRule type="containsText" dxfId="27" priority="6" operator="containsText" text="高"/>
    <cfRule type="containsText" dxfId="26" priority="7" operator="containsText" text="低"/>
  </conditionalFormatting>
  <conditionalFormatting sqref="AR17">
    <cfRule type="cellIs" dxfId="25" priority="1" operator="lessThanOrEqual">
      <formula>400000</formula>
    </cfRule>
    <cfRule type="cellIs" dxfId="24" priority="2" operator="between">
      <formula>400001</formula>
      <formula>440000</formula>
    </cfRule>
    <cfRule type="cellIs" dxfId="23" priority="3" operator="greaterThan">
      <formula>440000</formula>
    </cfRule>
  </conditionalFormatting>
  <conditionalFormatting sqref="AW17">
    <cfRule type="containsText" dxfId="22" priority="8" operator="containsText" text="自动"/>
    <cfRule type="containsText" dxfId="21" priority="9" operator="containsText" text="单独"/>
    <cfRule type="containsText" dxfId="20" priority="10" operator="containsText" text="待确认"/>
  </conditionalFormatting>
  <dataValidations count="14">
    <dataValidation type="list" sqref="A17" xr:uid="{00000000-0002-0000-0100-000000000000}">
      <formula1>"香港,澳门,英国,新西兰"</formula1>
    </dataValidation>
    <dataValidation type="list" sqref="G17" xr:uid="{00000000-0002-0000-0100-000001000000}">
      <formula1>"经济学,应用经济学,金融学,金融与经济,商业分析,管理学,公共政策,国际政治经济,商法,知识产权法,其他"</formula1>
    </dataValidation>
    <dataValidation type="list" sqref="I17" xr:uid="{00000000-0002-0000-0100-000002000000}">
      <formula1>"1年,1.5年,2年及以上（排除）"</formula1>
    </dataValidation>
    <dataValidation type="list" sqref="T17" xr:uid="{00000000-0002-0000-0100-000003000000}">
      <formula1>"是,否,待确认,是（CET-6≥490）"</formula1>
    </dataValidation>
    <dataValidation type="list" sqref="U17" xr:uid="{00000000-0002-0000-0100-000004000000}">
      <formula1>"不要求,不要求；GMAT/GRE建议提交,不要求（GMAT Verbal可作英语证明）,待确认"</formula1>
    </dataValidation>
    <dataValidation type="list" sqref="V17 AX17" xr:uid="{00000000-0002-0000-0100-000005000000}">
      <formula1>"是,否,待确认"</formula1>
    </dataValidation>
    <dataValidation type="list" sqref="W17" xr:uid="{00000000-0002-0000-0100-000006000000}">
      <formula1>"是,否,不适用,待确认"</formula1>
    </dataValidation>
    <dataValidation type="list" sqref="X17" xr:uid="{00000000-0002-0000-0100-000007000000}">
      <formula1>"冲刺,匹配,相对稳妥"</formula1>
    </dataValidation>
    <dataValidation type="list" sqref="Z17" xr:uid="{00000000-0002-0000-0100-000008000000}">
      <formula1>"高,中,低,不建议"</formula1>
    </dataValidation>
    <dataValidation type="list" sqref="AA17 AY17" xr:uid="{00000000-0002-0000-0100-000009000000}">
      <formula1>"是,否"</formula1>
    </dataValidation>
    <dataValidation type="list" sqref="AW17" xr:uid="{00000000-0002-0000-0100-00000A000000}">
      <formula1>"自动随录取审核,需要单独申请,没有明确奖学金,奖学金信息待确认"</formula1>
    </dataValidation>
    <dataValidation type="list" sqref="AZ17" xr:uid="{00000000-0002-0000-0100-00000D000000}">
      <formula1>"高,中,低,待确认"</formula1>
    </dataValidation>
    <dataValidation type="list" sqref="BD17" xr:uid="{00000000-0002-0000-0100-00000E000000}">
      <formula1>"预算内,临界预算,超预算,排除"</formula1>
    </dataValidation>
    <dataValidation type="list" sqref="BL17" xr:uid="{00000000-0002-0000-0100-00000F000000}">
      <formula1>"无需复核,需在申请前复核2027学费与截止日期,结论已核验；如接受2年制，可另开澳门专项清单"</formula1>
    </dataValidation>
  </dataValidations>
  <hyperlinks>
    <hyperlink ref="BF17" r:id="rId1" tooltip="官方来源：https://econ.fss.um.edu.mo/master/" xr:uid="{F2B94536-CF02-4005-A1F1-D2170FE0BA82}"/>
    <hyperlink ref="BG17" r:id="rId2" tooltip="官方来源：https://www.must.edu.mo/images/pdf/MasterFT_Non_Macao_residents_en.pdf" xr:uid="{0365C4D1-A17B-4B40-9672-1861816747D2}"/>
    <hyperlink ref="BH17" r:id="rId3" tooltip="官方来源：https://fof.cityu.edu.mo/en/masterofscienceinfinance" xr:uid="{A785B72A-A535-47C8-A7C1-CFD094413617}"/>
    <hyperlink ref="BJ17" r:id="rId4" tooltip="官方来源：https://rc.um.edu.mo/rc-cost/" xr:uid="{4B661B49-8D64-474A-9DE0-99A4E19FE994}"/>
  </hyperlinks>
  <pageMargins left="0.7" right="0.7" top="0.75" bottom="0.75" header="0.3" footer="0.3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24"/>
  <sheetViews>
    <sheetView showGridLines="0" workbookViewId="0">
      <pane xSplit="5" ySplit="16" topLeftCell="F17" activePane="bottomRight" state="frozenSplit"/>
      <selection pane="bottomLeft" activeCell="A17" sqref="A17"/>
      <selection pane="topRight" activeCell="F1" sqref="F1"/>
      <selection pane="bottomRight" sqref="A1:M1"/>
    </sheetView>
  </sheetViews>
  <sheetFormatPr defaultRowHeight="14"/>
  <cols>
    <col min="1" max="1" width="10" customWidth="1"/>
    <col min="2" max="2" width="18" customWidth="1"/>
    <col min="3" max="3" width="11" customWidth="1"/>
    <col min="4" max="4" width="15" customWidth="1"/>
    <col min="5" max="5" width="32" customWidth="1"/>
    <col min="6" max="6" width="20" customWidth="1"/>
    <col min="7" max="7" width="13" customWidth="1"/>
    <col min="8" max="8" width="10" customWidth="1"/>
    <col min="9" max="9" width="12" customWidth="1"/>
    <col min="10" max="10" width="9" customWidth="1"/>
    <col min="11" max="11" width="10" customWidth="1"/>
    <col min="12" max="12" width="12" customWidth="1"/>
    <col min="13" max="13" width="24" customWidth="1"/>
    <col min="14" max="15" width="22" customWidth="1"/>
    <col min="16" max="16" width="18" customWidth="1"/>
    <col min="17" max="17" width="28" customWidth="1"/>
    <col min="18" max="18" width="34" customWidth="1"/>
    <col min="19" max="19" width="25" customWidth="1"/>
    <col min="20" max="20" width="18" customWidth="1"/>
    <col min="21" max="21" width="24" customWidth="1"/>
    <col min="22" max="23" width="14" customWidth="1"/>
    <col min="24" max="24" width="12" customWidth="1"/>
    <col min="25" max="25" width="10" customWidth="1"/>
    <col min="26" max="27" width="12" customWidth="1"/>
    <col min="28" max="28" width="14" customWidth="1"/>
    <col min="29" max="29" width="13" customWidth="1"/>
    <col min="30" max="30" width="14" customWidth="1"/>
    <col min="31" max="31" width="13" customWidth="1"/>
    <col min="32" max="32" width="14" customWidth="1"/>
    <col min="33" max="33" width="13" customWidth="1"/>
    <col min="34" max="34" width="14" customWidth="1"/>
    <col min="35" max="35" width="13" customWidth="1"/>
    <col min="36" max="36" width="14" customWidth="1"/>
    <col min="37" max="37" width="13" customWidth="1"/>
    <col min="38" max="38" width="16" customWidth="1"/>
    <col min="39" max="39" width="14" customWidth="1"/>
    <col min="40" max="40" width="18" customWidth="1"/>
    <col min="41" max="42" width="16" customWidth="1"/>
    <col min="43" max="43" width="14" customWidth="1"/>
    <col min="44" max="45" width="16" customWidth="1"/>
    <col min="46" max="46" width="13" customWidth="1"/>
    <col min="47" max="47" width="15" customWidth="1"/>
    <col min="48" max="48" width="14" customWidth="1"/>
    <col min="49" max="49" width="20" customWidth="1"/>
    <col min="50" max="50" width="14" customWidth="1"/>
    <col min="51" max="51" width="16" customWidth="1"/>
    <col min="52" max="52" width="14" customWidth="1"/>
    <col min="53" max="54" width="16" customWidth="1"/>
    <col min="55" max="55" width="18" customWidth="1"/>
    <col min="56" max="56" width="13" customWidth="1"/>
    <col min="57" max="57" width="12" customWidth="1"/>
    <col min="58" max="60" width="16" customWidth="1"/>
    <col min="61" max="61" width="18" customWidth="1"/>
    <col min="62" max="62" width="20" customWidth="1"/>
    <col min="63" max="63" width="44" customWidth="1"/>
    <col min="64" max="64" width="28" customWidth="1"/>
    <col min="65" max="65" width="38" customWidth="1"/>
    <col min="66" max="66" width="13" customWidth="1"/>
  </cols>
  <sheetData>
    <row r="1" spans="1:80" ht="34" customHeight="1">
      <c r="A1" s="37" t="s">
        <v>209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BP1" s="11" t="s">
        <v>1</v>
      </c>
      <c r="BQ1" s="11" t="s">
        <v>2</v>
      </c>
      <c r="BR1" s="11" t="s">
        <v>3</v>
      </c>
      <c r="BS1" s="11"/>
      <c r="BT1" s="11"/>
      <c r="BU1" s="11" t="s">
        <v>4</v>
      </c>
      <c r="BV1" s="11" t="s">
        <v>5</v>
      </c>
      <c r="BW1" s="11"/>
      <c r="BX1" s="11" t="s">
        <v>6</v>
      </c>
      <c r="BY1" s="11" t="s">
        <v>5</v>
      </c>
      <c r="BZ1" s="11"/>
      <c r="CA1" s="11" t="s">
        <v>7</v>
      </c>
      <c r="CB1" s="11" t="s">
        <v>5</v>
      </c>
    </row>
    <row r="2" spans="1:80">
      <c r="A2" s="14" t="s">
        <v>8</v>
      </c>
      <c r="B2" s="1" t="s">
        <v>9</v>
      </c>
      <c r="C2" s="1"/>
      <c r="D2" s="14" t="s">
        <v>10</v>
      </c>
      <c r="E2" s="1">
        <v>2027</v>
      </c>
      <c r="F2" s="1"/>
      <c r="G2" s="14" t="s">
        <v>11</v>
      </c>
      <c r="H2" s="4">
        <v>9.5</v>
      </c>
      <c r="I2" s="1" t="s">
        <v>12</v>
      </c>
      <c r="J2" s="1" t="s">
        <v>210</v>
      </c>
      <c r="K2" s="1" t="s">
        <v>14</v>
      </c>
      <c r="L2" s="1" t="s">
        <v>15</v>
      </c>
      <c r="M2" s="1"/>
      <c r="BP2" s="11" t="str">
        <f t="shared" ref="BP2:BP9" si="0">IF($AA17="是",$C17&amp;"-"&amp;$F17,"无符合条件项目")</f>
        <v>York-MSc Economics</v>
      </c>
      <c r="BQ2" s="12">
        <f t="shared" ref="BQ2:BQ9" si="1">IF($AA17="是",$AT17,0)</f>
        <v>42.012799999999999</v>
      </c>
      <c r="BR2" s="12">
        <f t="shared" ref="BR2:BR9" si="2">$B$3/10000</f>
        <v>40</v>
      </c>
      <c r="BS2" s="11"/>
      <c r="BT2" s="11"/>
      <c r="BU2" s="11" t="s">
        <v>16</v>
      </c>
      <c r="BV2" s="11">
        <f>COUNTIFS($AA$17:$AA$24,"是",$BD$17:$BD$24,$BU2)</f>
        <v>1</v>
      </c>
      <c r="BW2" s="11"/>
      <c r="BX2" s="11" t="s">
        <v>17</v>
      </c>
      <c r="BY2" s="11">
        <f t="shared" ref="BY2:BY12" si="3">COUNTIFS($AA$17:$AA$24,"是",$G$17:$G$24,$BX2)</f>
        <v>7</v>
      </c>
      <c r="BZ2" s="11"/>
      <c r="CA2" s="11" t="s">
        <v>18</v>
      </c>
      <c r="CB2" s="11">
        <f>COUNTIFS($AA$17:$AA$24,"是",$AW$17:$AW$24,$CA2)</f>
        <v>1</v>
      </c>
    </row>
    <row r="3" spans="1:80">
      <c r="A3" s="14" t="s">
        <v>19</v>
      </c>
      <c r="B3" s="3">
        <v>400000</v>
      </c>
      <c r="C3" s="1"/>
      <c r="D3" s="14" t="s">
        <v>20</v>
      </c>
      <c r="E3" s="17" t="s">
        <v>21</v>
      </c>
      <c r="F3" s="17"/>
      <c r="G3" s="17"/>
      <c r="H3" s="17"/>
      <c r="I3" s="17"/>
      <c r="J3" s="17"/>
      <c r="K3" s="17"/>
      <c r="L3" s="17"/>
      <c r="M3" s="17"/>
      <c r="BP3" s="11" t="str">
        <f t="shared" si="0"/>
        <v>QUB-MSc IPE</v>
      </c>
      <c r="BQ3" s="12">
        <f t="shared" si="1"/>
        <v>37.975299999999997</v>
      </c>
      <c r="BR3" s="12">
        <f t="shared" si="2"/>
        <v>40</v>
      </c>
      <c r="BS3" s="11"/>
      <c r="BT3" s="11"/>
      <c r="BU3" s="11" t="s">
        <v>22</v>
      </c>
      <c r="BV3" s="11">
        <f>COUNTIFS($AA$17:$AA$24,"是",$BD$17:$BD$24,$BU3)</f>
        <v>3</v>
      </c>
      <c r="BW3" s="11"/>
      <c r="BX3" s="11" t="s">
        <v>23</v>
      </c>
      <c r="BY3" s="11">
        <f t="shared" si="3"/>
        <v>0</v>
      </c>
      <c r="BZ3" s="11"/>
      <c r="CA3" s="11" t="s">
        <v>24</v>
      </c>
      <c r="CB3" s="11">
        <f>COUNTIFS($AA$17:$AA$24,"是",$AW$17:$AW$24,$CA3)</f>
        <v>5</v>
      </c>
    </row>
    <row r="4" spans="1:80">
      <c r="BP4" s="11" t="str">
        <f t="shared" si="0"/>
        <v>Exeter-MSc Economics</v>
      </c>
      <c r="BQ4" s="12">
        <f t="shared" si="1"/>
        <v>41.680300000000003</v>
      </c>
      <c r="BR4" s="12">
        <f t="shared" si="2"/>
        <v>40</v>
      </c>
      <c r="BS4" s="11"/>
      <c r="BT4" s="11"/>
      <c r="BU4" s="11" t="s">
        <v>25</v>
      </c>
      <c r="BV4" s="11">
        <f>COUNTIFS($AA$17:$AA$24,"是",$BD$17:$BD$24,$BU4)</f>
        <v>4</v>
      </c>
      <c r="BW4" s="11"/>
      <c r="BX4" s="11" t="s">
        <v>26</v>
      </c>
      <c r="BY4" s="11">
        <f t="shared" si="3"/>
        <v>0</v>
      </c>
      <c r="BZ4" s="11"/>
      <c r="CA4" s="11" t="s">
        <v>27</v>
      </c>
      <c r="CB4" s="11">
        <f>COUNTIFS($AA$17:$AA$24,"是",$AW$17:$AW$24,$CA4)</f>
        <v>0</v>
      </c>
    </row>
    <row r="5" spans="1:80">
      <c r="A5" s="18" t="s">
        <v>28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BP5" s="11" t="str">
        <f t="shared" si="0"/>
        <v>Sheffield-MSc Economics</v>
      </c>
      <c r="BQ5" s="12">
        <f t="shared" si="1"/>
        <v>43.855800000000002</v>
      </c>
      <c r="BR5" s="12">
        <f t="shared" si="2"/>
        <v>40</v>
      </c>
      <c r="BS5" s="11"/>
      <c r="BT5" s="11"/>
      <c r="BU5" s="11"/>
      <c r="BV5" s="11"/>
      <c r="BW5" s="11"/>
      <c r="BX5" s="11" t="s">
        <v>29</v>
      </c>
      <c r="BY5" s="11">
        <f t="shared" si="3"/>
        <v>0</v>
      </c>
      <c r="BZ5" s="11"/>
      <c r="CA5" s="11" t="s">
        <v>30</v>
      </c>
      <c r="CB5" s="11">
        <f>COUNTIFS($AA$17:$AA$24,"是",$AW$17:$AW$24,$CA5)</f>
        <v>2</v>
      </c>
    </row>
    <row r="6" spans="1:80">
      <c r="A6" s="19" t="s">
        <v>31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BP6" s="11" t="str">
        <f t="shared" si="0"/>
        <v>Leeds-MSc Economics</v>
      </c>
      <c r="BQ6" s="12">
        <f t="shared" si="1"/>
        <v>44.387799999999999</v>
      </c>
      <c r="BR6" s="12">
        <f t="shared" si="2"/>
        <v>40</v>
      </c>
      <c r="BS6" s="11"/>
      <c r="BT6" s="11"/>
      <c r="BU6" s="11"/>
      <c r="BV6" s="11"/>
      <c r="BW6" s="11"/>
      <c r="BX6" s="11" t="s">
        <v>32</v>
      </c>
      <c r="BY6" s="11">
        <f t="shared" si="3"/>
        <v>0</v>
      </c>
      <c r="BZ6" s="11"/>
      <c r="CA6" s="11"/>
      <c r="CB6" s="11"/>
    </row>
    <row r="7" spans="1:80">
      <c r="A7" s="22" t="s">
        <v>33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  <c r="BP7" s="11" t="str">
        <f t="shared" si="0"/>
        <v>Nottingham-MSc Economics</v>
      </c>
      <c r="BQ7" s="12">
        <f t="shared" si="1"/>
        <v>45.385300000000001</v>
      </c>
      <c r="BR7" s="12">
        <f t="shared" si="2"/>
        <v>40</v>
      </c>
      <c r="BS7" s="11"/>
      <c r="BT7" s="11"/>
      <c r="BU7" s="11"/>
      <c r="BV7" s="11"/>
      <c r="BW7" s="11"/>
      <c r="BX7" s="11" t="s">
        <v>34</v>
      </c>
      <c r="BY7" s="11">
        <f t="shared" si="3"/>
        <v>0</v>
      </c>
      <c r="BZ7" s="11"/>
      <c r="CA7" s="11"/>
      <c r="CB7" s="11"/>
    </row>
    <row r="8" spans="1:80">
      <c r="A8" s="25" t="s">
        <v>35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BP8" s="11" t="str">
        <f t="shared" si="0"/>
        <v>Birmingham-MSc Economics</v>
      </c>
      <c r="BQ8" s="12">
        <f t="shared" si="1"/>
        <v>46.0503</v>
      </c>
      <c r="BR8" s="12">
        <f t="shared" si="2"/>
        <v>40</v>
      </c>
      <c r="BS8" s="11"/>
      <c r="BT8" s="11"/>
      <c r="BU8" s="11"/>
      <c r="BV8" s="11"/>
      <c r="BW8" s="11"/>
      <c r="BX8" s="11" t="s">
        <v>36</v>
      </c>
      <c r="BY8" s="11">
        <f t="shared" si="3"/>
        <v>0</v>
      </c>
      <c r="BZ8" s="11"/>
      <c r="CA8" s="11"/>
      <c r="CB8" s="11"/>
    </row>
    <row r="9" spans="1:80">
      <c r="BP9" s="11" t="str">
        <f t="shared" si="0"/>
        <v>Glasgow-MSc Economics</v>
      </c>
      <c r="BQ9" s="12">
        <f t="shared" si="1"/>
        <v>47.674799999999998</v>
      </c>
      <c r="BR9" s="12">
        <f t="shared" si="2"/>
        <v>40</v>
      </c>
      <c r="BS9" s="11"/>
      <c r="BT9" s="11"/>
      <c r="BU9" s="11"/>
      <c r="BV9" s="11"/>
      <c r="BW9" s="11"/>
      <c r="BX9" s="11" t="s">
        <v>37</v>
      </c>
      <c r="BY9" s="11">
        <f t="shared" si="3"/>
        <v>1</v>
      </c>
      <c r="BZ9" s="11"/>
      <c r="CA9" s="11"/>
      <c r="CB9" s="11"/>
    </row>
    <row r="10" spans="1:80">
      <c r="A10" s="38" t="s">
        <v>38</v>
      </c>
      <c r="B10" s="38"/>
      <c r="C10" s="39" t="s">
        <v>39</v>
      </c>
      <c r="D10" s="39"/>
      <c r="E10" s="38" t="s">
        <v>16</v>
      </c>
      <c r="F10" s="38"/>
      <c r="G10" s="39" t="s">
        <v>22</v>
      </c>
      <c r="H10" s="39"/>
      <c r="I10" s="38" t="s">
        <v>25</v>
      </c>
      <c r="J10" s="38"/>
      <c r="K10" s="39" t="s">
        <v>40</v>
      </c>
      <c r="L10" s="39"/>
      <c r="BP10" s="11"/>
      <c r="BQ10" s="12"/>
      <c r="BR10" s="12"/>
      <c r="BS10" s="11"/>
      <c r="BT10" s="11"/>
      <c r="BU10" s="11"/>
      <c r="BV10" s="11"/>
      <c r="BW10" s="11"/>
      <c r="BX10" s="11" t="s">
        <v>41</v>
      </c>
      <c r="BY10" s="11">
        <f t="shared" si="3"/>
        <v>0</v>
      </c>
      <c r="BZ10" s="11"/>
      <c r="CA10" s="11"/>
      <c r="CB10" s="11"/>
    </row>
    <row r="11" spans="1:80" ht="18">
      <c r="A11" s="29">
        <f>SUM($BN$17:$BN$24)</f>
        <v>8</v>
      </c>
      <c r="B11" s="29"/>
      <c r="C11" s="31">
        <f>COUNTIF($AA$17:$AA$24,"是")</f>
        <v>8</v>
      </c>
      <c r="D11" s="31"/>
      <c r="E11" s="29">
        <f>COUNTIFS($AA$17:$AA$24,"是",$BD$17:$BD$24,"预算内")</f>
        <v>1</v>
      </c>
      <c r="F11" s="29"/>
      <c r="G11" s="31">
        <f>COUNTIFS($AA$17:$AA$24,"是",$BD$17:$BD$24,"临界预算")</f>
        <v>3</v>
      </c>
      <c r="H11" s="31"/>
      <c r="I11" s="29">
        <f>COUNTIFS($AA$17:$AA$24,"是",$BD$17:$BD$24,"超预算")</f>
        <v>4</v>
      </c>
      <c r="J11" s="29"/>
      <c r="K11" s="31">
        <f>COUNTIFS($AA$17:$AA$24,"是",$AX$17:$AX$24,"是")</f>
        <v>6</v>
      </c>
      <c r="L11" s="31"/>
      <c r="BP11" s="11"/>
      <c r="BQ11" s="12"/>
      <c r="BR11" s="12"/>
      <c r="BS11" s="11"/>
      <c r="BT11" s="11"/>
      <c r="BU11" s="11"/>
      <c r="BV11" s="11"/>
      <c r="BW11" s="11"/>
      <c r="BX11" s="11" t="s">
        <v>42</v>
      </c>
      <c r="BY11" s="11">
        <f t="shared" si="3"/>
        <v>0</v>
      </c>
      <c r="BZ11" s="11"/>
      <c r="CA11" s="11"/>
      <c r="CB11" s="11"/>
    </row>
    <row r="12" spans="1:80">
      <c r="BP12" s="11"/>
      <c r="BQ12" s="11"/>
      <c r="BR12" s="11"/>
      <c r="BS12" s="11"/>
      <c r="BT12" s="11"/>
      <c r="BU12" s="11"/>
      <c r="BV12" s="11"/>
      <c r="BW12" s="11"/>
      <c r="BX12" s="11" t="s">
        <v>43</v>
      </c>
      <c r="BY12" s="11">
        <f t="shared" si="3"/>
        <v>0</v>
      </c>
      <c r="BZ12" s="11"/>
      <c r="CA12" s="11"/>
      <c r="CB12" s="11"/>
    </row>
    <row r="13" spans="1:80">
      <c r="A13" s="38" t="s">
        <v>44</v>
      </c>
      <c r="B13" s="38"/>
      <c r="C13" s="39" t="s">
        <v>45</v>
      </c>
      <c r="D13" s="39"/>
      <c r="E13" s="38" t="s">
        <v>46</v>
      </c>
      <c r="F13" s="38"/>
      <c r="G13" s="39" t="s">
        <v>47</v>
      </c>
      <c r="H13" s="39"/>
      <c r="I13" s="38" t="s">
        <v>48</v>
      </c>
      <c r="J13" s="38"/>
      <c r="K13" s="39" t="s">
        <v>49</v>
      </c>
      <c r="L13" s="39"/>
    </row>
    <row r="14" spans="1:80" ht="18">
      <c r="A14" s="29">
        <f>COUNTIFS($AA$17:$AA$24,"是",$AY$17:$AY$24,"是")</f>
        <v>1</v>
      </c>
      <c r="B14" s="29"/>
      <c r="C14" s="31">
        <f>COUNTIFS($AA$17:$AA$24,"是",$I$17:$I$24,"1年")</f>
        <v>8</v>
      </c>
      <c r="D14" s="31"/>
      <c r="E14" s="29">
        <f>COUNTIFS($AA$17:$AA$24,"是",$I$17:$I$24,"1.5年")</f>
        <v>0</v>
      </c>
      <c r="F14" s="29"/>
      <c r="G14" s="32">
        <f>IFERROR(SUMIFS($AR$17:$AR$24,$AA$17:$AA$24,"是")/COUNTIF($AA$17:$AA$24,"是")/10000,0)</f>
        <v>43.627800000000001</v>
      </c>
      <c r="H14" s="31"/>
      <c r="I14" s="33">
        <f>IF(COUNTIF($AA$17:$AA$24,"是")=0,0,MIN($AR$17:$AR$24)/10000)</f>
        <v>37.975299999999997</v>
      </c>
      <c r="J14" s="29"/>
      <c r="K14" s="32">
        <f>IF(COUNTIF($AA$17:$AA$24,"是")=0,0,MAX($AR$17:$AR$24)/10000)</f>
        <v>47.674799999999998</v>
      </c>
      <c r="L14" s="31"/>
    </row>
    <row r="16" spans="1:80" ht="42" customHeight="1">
      <c r="A16" s="5" t="s">
        <v>50</v>
      </c>
      <c r="B16" s="5" t="s">
        <v>51</v>
      </c>
      <c r="C16" s="5" t="s">
        <v>52</v>
      </c>
      <c r="D16" s="5" t="s">
        <v>53</v>
      </c>
      <c r="E16" s="5" t="s">
        <v>54</v>
      </c>
      <c r="F16" s="5" t="s">
        <v>55</v>
      </c>
      <c r="G16" s="5" t="s">
        <v>6</v>
      </c>
      <c r="H16" s="5" t="s">
        <v>56</v>
      </c>
      <c r="I16" s="5" t="s">
        <v>57</v>
      </c>
      <c r="J16" s="5" t="s">
        <v>58</v>
      </c>
      <c r="K16" s="5" t="s">
        <v>59</v>
      </c>
      <c r="L16" s="5" t="s">
        <v>60</v>
      </c>
      <c r="M16" s="5" t="s">
        <v>61</v>
      </c>
      <c r="N16" s="5" t="s">
        <v>62</v>
      </c>
      <c r="O16" s="5" t="s">
        <v>63</v>
      </c>
      <c r="P16" s="5" t="s">
        <v>64</v>
      </c>
      <c r="Q16" s="5" t="s">
        <v>65</v>
      </c>
      <c r="R16" s="5" t="s">
        <v>66</v>
      </c>
      <c r="S16" s="5" t="s">
        <v>67</v>
      </c>
      <c r="T16" s="5" t="s">
        <v>68</v>
      </c>
      <c r="U16" s="5" t="s">
        <v>69</v>
      </c>
      <c r="V16" s="5" t="s">
        <v>70</v>
      </c>
      <c r="W16" s="5" t="s">
        <v>71</v>
      </c>
      <c r="X16" s="5" t="s">
        <v>72</v>
      </c>
      <c r="Y16" s="5" t="s">
        <v>73</v>
      </c>
      <c r="Z16" s="5" t="s">
        <v>74</v>
      </c>
      <c r="AA16" s="5" t="s">
        <v>75</v>
      </c>
      <c r="AB16" s="5" t="s">
        <v>76</v>
      </c>
      <c r="AC16" s="5" t="s">
        <v>77</v>
      </c>
      <c r="AD16" s="5" t="s">
        <v>78</v>
      </c>
      <c r="AE16" s="5" t="s">
        <v>79</v>
      </c>
      <c r="AF16" s="5" t="s">
        <v>80</v>
      </c>
      <c r="AG16" s="5" t="s">
        <v>81</v>
      </c>
      <c r="AH16" s="5" t="s">
        <v>82</v>
      </c>
      <c r="AI16" s="5" t="s">
        <v>83</v>
      </c>
      <c r="AJ16" s="5" t="s">
        <v>84</v>
      </c>
      <c r="AK16" s="5" t="s">
        <v>85</v>
      </c>
      <c r="AL16" s="5" t="s">
        <v>86</v>
      </c>
      <c r="AM16" s="5" t="s">
        <v>87</v>
      </c>
      <c r="AN16" s="5" t="s">
        <v>88</v>
      </c>
      <c r="AO16" s="5" t="s">
        <v>89</v>
      </c>
      <c r="AP16" s="5" t="s">
        <v>90</v>
      </c>
      <c r="AQ16" s="5" t="s">
        <v>91</v>
      </c>
      <c r="AR16" s="5" t="s">
        <v>92</v>
      </c>
      <c r="AS16" s="5" t="s">
        <v>93</v>
      </c>
      <c r="AT16" s="5" t="s">
        <v>94</v>
      </c>
      <c r="AU16" s="5" t="s">
        <v>95</v>
      </c>
      <c r="AV16" s="5" t="s">
        <v>96</v>
      </c>
      <c r="AW16" s="5" t="s">
        <v>7</v>
      </c>
      <c r="AX16" s="5" t="s">
        <v>97</v>
      </c>
      <c r="AY16" s="5" t="s">
        <v>98</v>
      </c>
      <c r="AZ16" s="5" t="s">
        <v>99</v>
      </c>
      <c r="BA16" s="5" t="s">
        <v>100</v>
      </c>
      <c r="BB16" s="5" t="s">
        <v>101</v>
      </c>
      <c r="BC16" s="5" t="s">
        <v>102</v>
      </c>
      <c r="BD16" s="5" t="s">
        <v>4</v>
      </c>
      <c r="BE16" s="5" t="s">
        <v>103</v>
      </c>
      <c r="BF16" s="5" t="s">
        <v>104</v>
      </c>
      <c r="BG16" s="5" t="s">
        <v>105</v>
      </c>
      <c r="BH16" s="5" t="s">
        <v>106</v>
      </c>
      <c r="BI16" s="5" t="s">
        <v>107</v>
      </c>
      <c r="BJ16" s="5" t="s">
        <v>108</v>
      </c>
      <c r="BK16" s="5" t="s">
        <v>109</v>
      </c>
      <c r="BL16" s="5" t="s">
        <v>110</v>
      </c>
      <c r="BM16" s="5" t="s">
        <v>111</v>
      </c>
      <c r="BN16" s="5" t="s">
        <v>112</v>
      </c>
    </row>
    <row r="17" spans="1:66" ht="72" customHeight="1">
      <c r="A17" s="6" t="s">
        <v>211</v>
      </c>
      <c r="B17" s="6" t="s">
        <v>212</v>
      </c>
      <c r="C17" s="6" t="s">
        <v>213</v>
      </c>
      <c r="D17" s="6" t="s">
        <v>213</v>
      </c>
      <c r="E17" s="6" t="s">
        <v>153</v>
      </c>
      <c r="F17" s="6" t="s">
        <v>153</v>
      </c>
      <c r="G17" s="6" t="s">
        <v>17</v>
      </c>
      <c r="H17" s="6" t="s">
        <v>118</v>
      </c>
      <c r="I17" s="6" t="s">
        <v>119</v>
      </c>
      <c r="J17" s="6">
        <v>12</v>
      </c>
      <c r="K17" s="6" t="s">
        <v>120</v>
      </c>
      <c r="L17" s="6" t="s">
        <v>214</v>
      </c>
      <c r="M17" s="6" t="s">
        <v>215</v>
      </c>
      <c r="N17" s="6" t="s">
        <v>216</v>
      </c>
      <c r="O17" s="6" t="s">
        <v>217</v>
      </c>
      <c r="P17" s="6" t="s">
        <v>125</v>
      </c>
      <c r="Q17" s="6" t="s">
        <v>218</v>
      </c>
      <c r="R17" s="6" t="s">
        <v>219</v>
      </c>
      <c r="S17" s="6" t="s">
        <v>220</v>
      </c>
      <c r="T17" s="6" t="s">
        <v>129</v>
      </c>
      <c r="U17" s="6" t="s">
        <v>130</v>
      </c>
      <c r="V17" s="6" t="s">
        <v>131</v>
      </c>
      <c r="W17" s="6" t="s">
        <v>132</v>
      </c>
      <c r="X17" s="6" t="s">
        <v>133</v>
      </c>
      <c r="Y17" s="6">
        <v>92</v>
      </c>
      <c r="Z17" s="6" t="s">
        <v>134</v>
      </c>
      <c r="AA17" s="6" t="s">
        <v>131</v>
      </c>
      <c r="AB17" s="7">
        <f t="shared" ref="AB17:AB24" si="4">ROUND($AC17*$H$2,0)</f>
        <v>258875</v>
      </c>
      <c r="AC17" s="8">
        <v>27250</v>
      </c>
      <c r="AD17" s="8">
        <f t="shared" ref="AD17:AD24" si="5">ROUND($AE17*$H$2,0)</f>
        <v>79800</v>
      </c>
      <c r="AE17" s="8">
        <v>8400</v>
      </c>
      <c r="AF17" s="8">
        <f t="shared" ref="AF17:AF24" si="6">ROUND($AG17*$H$2,0)</f>
        <v>28500</v>
      </c>
      <c r="AG17" s="8">
        <v>3000</v>
      </c>
      <c r="AH17" s="8">
        <f t="shared" ref="AH17:AH24" si="7">ROUND($AI17*$H$2,0)</f>
        <v>8550</v>
      </c>
      <c r="AI17" s="8">
        <v>900</v>
      </c>
      <c r="AJ17" s="8">
        <f t="shared" ref="AJ17:AJ24" si="8">ROUND($AK17*$H$2,0)</f>
        <v>16644</v>
      </c>
      <c r="AK17" s="8">
        <v>1752</v>
      </c>
      <c r="AL17" s="8">
        <f t="shared" ref="AL17:AL24" si="9">ROUND($AM17*$H$2,0)</f>
        <v>16359</v>
      </c>
      <c r="AM17" s="8">
        <v>1722</v>
      </c>
      <c r="AN17" s="8">
        <f t="shared" ref="AN17:AN24" si="10">ROUND($AO17*$H$2,0)</f>
        <v>2850</v>
      </c>
      <c r="AO17" s="8">
        <v>300</v>
      </c>
      <c r="AP17" s="8">
        <f t="shared" ref="AP17:AP24" si="11">ROUND($AQ17*$H$2,0)</f>
        <v>8550</v>
      </c>
      <c r="AQ17" s="8">
        <v>900</v>
      </c>
      <c r="AR17" s="7">
        <f t="shared" ref="AR17:AR24" si="12">SUM($AB17,$AD17,$AF17,$AH17,$AJ17,$AL17,$AN17,$AP17)</f>
        <v>420128</v>
      </c>
      <c r="AS17" s="7">
        <f t="shared" ref="AS17:AS24" si="13">SUM($AC17,$AE17,$AG17,$AI17,$AK17,$AM17,$AO17,$AQ17)</f>
        <v>44224</v>
      </c>
      <c r="AT17" s="9">
        <f t="shared" ref="AT17:AT24" si="14">$AR17/10000</f>
        <v>42.012799999999999</v>
      </c>
      <c r="AU17" s="7">
        <f t="shared" ref="AU17:AU24" si="15">ROUND($AV17*$H$2,0)</f>
        <v>47500</v>
      </c>
      <c r="AV17" s="8">
        <v>5000</v>
      </c>
      <c r="AW17" s="6" t="s">
        <v>24</v>
      </c>
      <c r="AX17" s="6" t="s">
        <v>131</v>
      </c>
      <c r="AY17" s="6" t="s">
        <v>129</v>
      </c>
      <c r="AZ17" s="6" t="s">
        <v>134</v>
      </c>
      <c r="BA17" s="7">
        <f t="shared" ref="BA17:BA24" si="16">MAX(0,$AR17-$AU17)</f>
        <v>372628</v>
      </c>
      <c r="BB17" s="8">
        <f t="shared" ref="BB17:BB24" si="17">MAX(0,$AS17-$AV17)</f>
        <v>39224</v>
      </c>
      <c r="BC17" s="7">
        <f t="shared" ref="BC17:BC24" si="18">$B$3-$BA17</f>
        <v>27372</v>
      </c>
      <c r="BD17" s="6" t="str">
        <f t="shared" ref="BD17:BD24" si="19">IF($AA17&lt;&gt;"是","排除",IF($AR17&lt;=$B$3,"预算内",IF($AR17&lt;=$B$3*1.1,"临界预算","超预算")))</f>
        <v>临界预算</v>
      </c>
      <c r="BE17" s="6" t="s">
        <v>9</v>
      </c>
      <c r="BF17" s="43" t="s">
        <v>104</v>
      </c>
      <c r="BG17" s="43" t="s">
        <v>105</v>
      </c>
      <c r="BH17" s="43" t="s">
        <v>350</v>
      </c>
      <c r="BI17" s="43" t="s">
        <v>107</v>
      </c>
      <c r="BJ17" s="43" t="s">
        <v>351</v>
      </c>
      <c r="BK17" s="6" t="s">
        <v>221</v>
      </c>
      <c r="BL17" s="6" t="s">
        <v>138</v>
      </c>
      <c r="BM17" s="6" t="s">
        <v>222</v>
      </c>
      <c r="BN17" s="6">
        <f>IF($AA17="是",IF(COUNTIFS($B$17:$B17,$B17,$AA$17:$AA17,"是")=1,1,0),0)</f>
        <v>1</v>
      </c>
    </row>
    <row r="18" spans="1:66" ht="72" customHeight="1">
      <c r="A18" s="6" t="s">
        <v>211</v>
      </c>
      <c r="B18" s="6" t="s">
        <v>223</v>
      </c>
      <c r="C18" s="6" t="s">
        <v>224</v>
      </c>
      <c r="D18" s="6" t="s">
        <v>225</v>
      </c>
      <c r="E18" s="6" t="s">
        <v>226</v>
      </c>
      <c r="F18" s="6" t="s">
        <v>227</v>
      </c>
      <c r="G18" s="6" t="s">
        <v>37</v>
      </c>
      <c r="H18" s="6" t="s">
        <v>118</v>
      </c>
      <c r="I18" s="6" t="s">
        <v>119</v>
      </c>
      <c r="J18" s="6">
        <v>12</v>
      </c>
      <c r="K18" s="6" t="s">
        <v>120</v>
      </c>
      <c r="L18" s="6" t="s">
        <v>214</v>
      </c>
      <c r="M18" s="6" t="s">
        <v>122</v>
      </c>
      <c r="N18" s="6" t="s">
        <v>228</v>
      </c>
      <c r="O18" s="6" t="s">
        <v>217</v>
      </c>
      <c r="P18" s="6" t="s">
        <v>125</v>
      </c>
      <c r="Q18" s="6" t="s">
        <v>229</v>
      </c>
      <c r="R18" s="6" t="s">
        <v>230</v>
      </c>
      <c r="S18" s="6" t="s">
        <v>168</v>
      </c>
      <c r="T18" s="6" t="s">
        <v>129</v>
      </c>
      <c r="U18" s="6" t="s">
        <v>130</v>
      </c>
      <c r="V18" s="6" t="s">
        <v>131</v>
      </c>
      <c r="W18" s="6" t="s">
        <v>131</v>
      </c>
      <c r="X18" s="6" t="s">
        <v>133</v>
      </c>
      <c r="Y18" s="6">
        <v>91</v>
      </c>
      <c r="Z18" s="6" t="s">
        <v>134</v>
      </c>
      <c r="AA18" s="6" t="s">
        <v>131</v>
      </c>
      <c r="AB18" s="7">
        <f t="shared" si="4"/>
        <v>218500</v>
      </c>
      <c r="AC18" s="8">
        <v>23000</v>
      </c>
      <c r="AD18" s="8">
        <f t="shared" si="5"/>
        <v>79800</v>
      </c>
      <c r="AE18" s="8">
        <v>8400</v>
      </c>
      <c r="AF18" s="8">
        <f t="shared" si="6"/>
        <v>28500</v>
      </c>
      <c r="AG18" s="8">
        <v>3000</v>
      </c>
      <c r="AH18" s="8">
        <f t="shared" si="7"/>
        <v>8550</v>
      </c>
      <c r="AI18" s="8">
        <v>900</v>
      </c>
      <c r="AJ18" s="8">
        <f t="shared" si="8"/>
        <v>16644</v>
      </c>
      <c r="AK18" s="8">
        <v>1752</v>
      </c>
      <c r="AL18" s="8">
        <f t="shared" si="9"/>
        <v>16359</v>
      </c>
      <c r="AM18" s="8">
        <v>1722</v>
      </c>
      <c r="AN18" s="8">
        <f t="shared" si="10"/>
        <v>2850</v>
      </c>
      <c r="AO18" s="8">
        <v>300</v>
      </c>
      <c r="AP18" s="8">
        <f t="shared" si="11"/>
        <v>8550</v>
      </c>
      <c r="AQ18" s="8">
        <v>900</v>
      </c>
      <c r="AR18" s="7">
        <f t="shared" si="12"/>
        <v>379753</v>
      </c>
      <c r="AS18" s="7">
        <f t="shared" si="13"/>
        <v>39974</v>
      </c>
      <c r="AT18" s="9">
        <f t="shared" si="14"/>
        <v>37.975299999999997</v>
      </c>
      <c r="AU18" s="7">
        <f t="shared" si="15"/>
        <v>0</v>
      </c>
      <c r="AV18" s="8">
        <v>0</v>
      </c>
      <c r="AW18" s="6" t="s">
        <v>30</v>
      </c>
      <c r="AX18" s="6" t="s">
        <v>135</v>
      </c>
      <c r="AY18" s="6" t="s">
        <v>129</v>
      </c>
      <c r="AZ18" s="6" t="s">
        <v>135</v>
      </c>
      <c r="BA18" s="7">
        <f t="shared" si="16"/>
        <v>379753</v>
      </c>
      <c r="BB18" s="8">
        <f t="shared" si="17"/>
        <v>39974</v>
      </c>
      <c r="BC18" s="7">
        <f t="shared" si="18"/>
        <v>20247</v>
      </c>
      <c r="BD18" s="6" t="str">
        <f t="shared" si="19"/>
        <v>预算内</v>
      </c>
      <c r="BE18" s="6" t="s">
        <v>9</v>
      </c>
      <c r="BF18" s="43" t="s">
        <v>104</v>
      </c>
      <c r="BG18" s="43" t="s">
        <v>105</v>
      </c>
      <c r="BH18" s="43" t="s">
        <v>350</v>
      </c>
      <c r="BI18" s="10" t="s">
        <v>136</v>
      </c>
      <c r="BJ18" s="43" t="s">
        <v>351</v>
      </c>
      <c r="BK18" s="6" t="s">
        <v>231</v>
      </c>
      <c r="BL18" s="6" t="s">
        <v>138</v>
      </c>
      <c r="BM18" s="6" t="s">
        <v>232</v>
      </c>
      <c r="BN18" s="6">
        <f>IF($AA18="是",IF(COUNTIFS($B$17:$B18,$B18,$AA$17:$AA18,"是")=1,1,0),0)</f>
        <v>1</v>
      </c>
    </row>
    <row r="19" spans="1:66" ht="72" customHeight="1">
      <c r="A19" s="6" t="s">
        <v>211</v>
      </c>
      <c r="B19" s="6" t="s">
        <v>233</v>
      </c>
      <c r="C19" s="6" t="s">
        <v>234</v>
      </c>
      <c r="D19" s="6" t="s">
        <v>234</v>
      </c>
      <c r="E19" s="6" t="s">
        <v>153</v>
      </c>
      <c r="F19" s="6" t="s">
        <v>153</v>
      </c>
      <c r="G19" s="6" t="s">
        <v>17</v>
      </c>
      <c r="H19" s="6" t="s">
        <v>118</v>
      </c>
      <c r="I19" s="6" t="s">
        <v>119</v>
      </c>
      <c r="J19" s="6">
        <v>12</v>
      </c>
      <c r="K19" s="6" t="s">
        <v>120</v>
      </c>
      <c r="L19" s="6" t="s">
        <v>214</v>
      </c>
      <c r="M19" s="6" t="s">
        <v>215</v>
      </c>
      <c r="N19" s="6" t="s">
        <v>235</v>
      </c>
      <c r="O19" s="6" t="s">
        <v>236</v>
      </c>
      <c r="P19" s="6" t="s">
        <v>125</v>
      </c>
      <c r="Q19" s="6" t="s">
        <v>237</v>
      </c>
      <c r="R19" s="6" t="s">
        <v>238</v>
      </c>
      <c r="S19" s="6" t="s">
        <v>220</v>
      </c>
      <c r="T19" s="6" t="s">
        <v>129</v>
      </c>
      <c r="U19" s="6" t="s">
        <v>130</v>
      </c>
      <c r="V19" s="6" t="s">
        <v>131</v>
      </c>
      <c r="W19" s="6" t="s">
        <v>132</v>
      </c>
      <c r="X19" s="6" t="s">
        <v>160</v>
      </c>
      <c r="Y19" s="6">
        <v>89</v>
      </c>
      <c r="Z19" s="6" t="s">
        <v>134</v>
      </c>
      <c r="AA19" s="6" t="s">
        <v>131</v>
      </c>
      <c r="AB19" s="7">
        <f t="shared" si="4"/>
        <v>255550</v>
      </c>
      <c r="AC19" s="8">
        <v>26900</v>
      </c>
      <c r="AD19" s="8">
        <f t="shared" si="5"/>
        <v>79800</v>
      </c>
      <c r="AE19" s="8">
        <v>8400</v>
      </c>
      <c r="AF19" s="8">
        <f t="shared" si="6"/>
        <v>28500</v>
      </c>
      <c r="AG19" s="8">
        <v>3000</v>
      </c>
      <c r="AH19" s="8">
        <f t="shared" si="7"/>
        <v>8550</v>
      </c>
      <c r="AI19" s="8">
        <v>900</v>
      </c>
      <c r="AJ19" s="8">
        <f t="shared" si="8"/>
        <v>16644</v>
      </c>
      <c r="AK19" s="8">
        <v>1752</v>
      </c>
      <c r="AL19" s="8">
        <f t="shared" si="9"/>
        <v>16359</v>
      </c>
      <c r="AM19" s="8">
        <v>1722</v>
      </c>
      <c r="AN19" s="8">
        <f t="shared" si="10"/>
        <v>2850</v>
      </c>
      <c r="AO19" s="8">
        <v>300</v>
      </c>
      <c r="AP19" s="8">
        <f t="shared" si="11"/>
        <v>8550</v>
      </c>
      <c r="AQ19" s="8">
        <v>900</v>
      </c>
      <c r="AR19" s="7">
        <f t="shared" si="12"/>
        <v>416803</v>
      </c>
      <c r="AS19" s="7">
        <f t="shared" si="13"/>
        <v>43874</v>
      </c>
      <c r="AT19" s="9">
        <f t="shared" si="14"/>
        <v>41.680300000000003</v>
      </c>
      <c r="AU19" s="7">
        <f t="shared" si="15"/>
        <v>0</v>
      </c>
      <c r="AV19" s="8">
        <v>0</v>
      </c>
      <c r="AW19" s="6" t="s">
        <v>24</v>
      </c>
      <c r="AX19" s="6" t="s">
        <v>131</v>
      </c>
      <c r="AY19" s="6" t="s">
        <v>129</v>
      </c>
      <c r="AZ19" s="6" t="s">
        <v>134</v>
      </c>
      <c r="BA19" s="7">
        <f t="shared" si="16"/>
        <v>416803</v>
      </c>
      <c r="BB19" s="8">
        <f t="shared" si="17"/>
        <v>43874</v>
      </c>
      <c r="BC19" s="7">
        <f t="shared" si="18"/>
        <v>-16803</v>
      </c>
      <c r="BD19" s="6" t="str">
        <f t="shared" si="19"/>
        <v>临界预算</v>
      </c>
      <c r="BE19" s="6" t="s">
        <v>9</v>
      </c>
      <c r="BF19" s="43" t="s">
        <v>104</v>
      </c>
      <c r="BG19" s="43" t="s">
        <v>105</v>
      </c>
      <c r="BH19" s="43" t="s">
        <v>350</v>
      </c>
      <c r="BI19" s="43" t="s">
        <v>107</v>
      </c>
      <c r="BJ19" s="43" t="s">
        <v>351</v>
      </c>
      <c r="BK19" s="6" t="s">
        <v>239</v>
      </c>
      <c r="BL19" s="6" t="s">
        <v>138</v>
      </c>
      <c r="BM19" s="6" t="s">
        <v>240</v>
      </c>
      <c r="BN19" s="6">
        <f>IF($AA19="是",IF(COUNTIFS($B$17:$B19,$B19,$AA$17:$AA19,"是")=1,1,0),0)</f>
        <v>1</v>
      </c>
    </row>
    <row r="20" spans="1:66" ht="72" customHeight="1">
      <c r="A20" s="6" t="s">
        <v>211</v>
      </c>
      <c r="B20" s="6" t="s">
        <v>241</v>
      </c>
      <c r="C20" s="6" t="s">
        <v>242</v>
      </c>
      <c r="D20" s="6" t="s">
        <v>242</v>
      </c>
      <c r="E20" s="6" t="s">
        <v>153</v>
      </c>
      <c r="F20" s="6" t="s">
        <v>153</v>
      </c>
      <c r="G20" s="6" t="s">
        <v>17</v>
      </c>
      <c r="H20" s="6" t="s">
        <v>118</v>
      </c>
      <c r="I20" s="6" t="s">
        <v>119</v>
      </c>
      <c r="J20" s="6">
        <v>12</v>
      </c>
      <c r="K20" s="6" t="s">
        <v>120</v>
      </c>
      <c r="L20" s="6" t="s">
        <v>214</v>
      </c>
      <c r="M20" s="6" t="s">
        <v>215</v>
      </c>
      <c r="N20" s="6" t="s">
        <v>243</v>
      </c>
      <c r="O20" s="6" t="s">
        <v>236</v>
      </c>
      <c r="P20" s="6" t="s">
        <v>125</v>
      </c>
      <c r="Q20" s="6" t="s">
        <v>244</v>
      </c>
      <c r="R20" s="6" t="s">
        <v>245</v>
      </c>
      <c r="S20" s="6" t="s">
        <v>220</v>
      </c>
      <c r="T20" s="6" t="s">
        <v>129</v>
      </c>
      <c r="U20" s="6" t="s">
        <v>130</v>
      </c>
      <c r="V20" s="6" t="s">
        <v>131</v>
      </c>
      <c r="W20" s="6" t="s">
        <v>132</v>
      </c>
      <c r="X20" s="6" t="s">
        <v>160</v>
      </c>
      <c r="Y20" s="6">
        <v>88</v>
      </c>
      <c r="Z20" s="6" t="s">
        <v>134</v>
      </c>
      <c r="AA20" s="6" t="s">
        <v>131</v>
      </c>
      <c r="AB20" s="7">
        <f t="shared" si="4"/>
        <v>277305</v>
      </c>
      <c r="AC20" s="8">
        <v>29190</v>
      </c>
      <c r="AD20" s="8">
        <f t="shared" si="5"/>
        <v>79800</v>
      </c>
      <c r="AE20" s="8">
        <v>8400</v>
      </c>
      <c r="AF20" s="8">
        <f t="shared" si="6"/>
        <v>28500</v>
      </c>
      <c r="AG20" s="8">
        <v>3000</v>
      </c>
      <c r="AH20" s="8">
        <f t="shared" si="7"/>
        <v>8550</v>
      </c>
      <c r="AI20" s="8">
        <v>900</v>
      </c>
      <c r="AJ20" s="8">
        <f t="shared" si="8"/>
        <v>16644</v>
      </c>
      <c r="AK20" s="8">
        <v>1752</v>
      </c>
      <c r="AL20" s="8">
        <f t="shared" si="9"/>
        <v>16359</v>
      </c>
      <c r="AM20" s="8">
        <v>1722</v>
      </c>
      <c r="AN20" s="8">
        <f t="shared" si="10"/>
        <v>2850</v>
      </c>
      <c r="AO20" s="8">
        <v>300</v>
      </c>
      <c r="AP20" s="8">
        <f t="shared" si="11"/>
        <v>8550</v>
      </c>
      <c r="AQ20" s="8">
        <v>900</v>
      </c>
      <c r="AR20" s="7">
        <f t="shared" si="12"/>
        <v>438558</v>
      </c>
      <c r="AS20" s="7">
        <f t="shared" si="13"/>
        <v>46164</v>
      </c>
      <c r="AT20" s="9">
        <f t="shared" si="14"/>
        <v>43.855800000000002</v>
      </c>
      <c r="AU20" s="7">
        <f t="shared" si="15"/>
        <v>28500</v>
      </c>
      <c r="AV20" s="8">
        <v>3000</v>
      </c>
      <c r="AW20" s="6" t="s">
        <v>18</v>
      </c>
      <c r="AX20" s="6" t="s">
        <v>131</v>
      </c>
      <c r="AY20" s="6" t="s">
        <v>131</v>
      </c>
      <c r="AZ20" s="6" t="s">
        <v>181</v>
      </c>
      <c r="BA20" s="7">
        <f t="shared" si="16"/>
        <v>410058</v>
      </c>
      <c r="BB20" s="8">
        <f t="shared" si="17"/>
        <v>43164</v>
      </c>
      <c r="BC20" s="7">
        <f t="shared" si="18"/>
        <v>-10058</v>
      </c>
      <c r="BD20" s="6" t="str">
        <f t="shared" si="19"/>
        <v>临界预算</v>
      </c>
      <c r="BE20" s="6" t="s">
        <v>9</v>
      </c>
      <c r="BF20" s="43" t="s">
        <v>104</v>
      </c>
      <c r="BG20" s="43" t="s">
        <v>105</v>
      </c>
      <c r="BH20" s="43" t="s">
        <v>350</v>
      </c>
      <c r="BI20" s="43" t="s">
        <v>107</v>
      </c>
      <c r="BJ20" s="43" t="s">
        <v>351</v>
      </c>
      <c r="BK20" s="6" t="s">
        <v>246</v>
      </c>
      <c r="BL20" s="6" t="s">
        <v>138</v>
      </c>
      <c r="BM20" s="6" t="s">
        <v>247</v>
      </c>
      <c r="BN20" s="6">
        <f>IF($AA20="是",IF(COUNTIFS($B$17:$B20,$B20,$AA$17:$AA20,"是")=1,1,0),0)</f>
        <v>1</v>
      </c>
    </row>
    <row r="21" spans="1:66" ht="72" customHeight="1">
      <c r="A21" s="6" t="s">
        <v>211</v>
      </c>
      <c r="B21" s="6" t="s">
        <v>248</v>
      </c>
      <c r="C21" s="6" t="s">
        <v>249</v>
      </c>
      <c r="D21" s="6" t="s">
        <v>249</v>
      </c>
      <c r="E21" s="6" t="s">
        <v>153</v>
      </c>
      <c r="F21" s="6" t="s">
        <v>153</v>
      </c>
      <c r="G21" s="6" t="s">
        <v>17</v>
      </c>
      <c r="H21" s="6" t="s">
        <v>118</v>
      </c>
      <c r="I21" s="6" t="s">
        <v>119</v>
      </c>
      <c r="J21" s="6">
        <v>12</v>
      </c>
      <c r="K21" s="6" t="s">
        <v>120</v>
      </c>
      <c r="L21" s="6" t="s">
        <v>214</v>
      </c>
      <c r="M21" s="6" t="s">
        <v>215</v>
      </c>
      <c r="N21" s="6" t="s">
        <v>250</v>
      </c>
      <c r="O21" s="6" t="s">
        <v>236</v>
      </c>
      <c r="P21" s="6" t="s">
        <v>125</v>
      </c>
      <c r="Q21" s="6" t="s">
        <v>244</v>
      </c>
      <c r="R21" s="6" t="s">
        <v>251</v>
      </c>
      <c r="S21" s="6" t="s">
        <v>220</v>
      </c>
      <c r="T21" s="6" t="s">
        <v>129</v>
      </c>
      <c r="U21" s="6" t="s">
        <v>130</v>
      </c>
      <c r="V21" s="6" t="s">
        <v>131</v>
      </c>
      <c r="W21" s="6" t="s">
        <v>132</v>
      </c>
      <c r="X21" s="6" t="s">
        <v>160</v>
      </c>
      <c r="Y21" s="6">
        <v>86</v>
      </c>
      <c r="Z21" s="6" t="s">
        <v>161</v>
      </c>
      <c r="AA21" s="6" t="s">
        <v>131</v>
      </c>
      <c r="AB21" s="7">
        <f t="shared" si="4"/>
        <v>282625</v>
      </c>
      <c r="AC21" s="8">
        <v>29750</v>
      </c>
      <c r="AD21" s="8">
        <f t="shared" si="5"/>
        <v>79800</v>
      </c>
      <c r="AE21" s="8">
        <v>8400</v>
      </c>
      <c r="AF21" s="8">
        <f t="shared" si="6"/>
        <v>28500</v>
      </c>
      <c r="AG21" s="8">
        <v>3000</v>
      </c>
      <c r="AH21" s="8">
        <f t="shared" si="7"/>
        <v>8550</v>
      </c>
      <c r="AI21" s="8">
        <v>900</v>
      </c>
      <c r="AJ21" s="8">
        <f t="shared" si="8"/>
        <v>16644</v>
      </c>
      <c r="AK21" s="8">
        <v>1752</v>
      </c>
      <c r="AL21" s="8">
        <f t="shared" si="9"/>
        <v>16359</v>
      </c>
      <c r="AM21" s="8">
        <v>1722</v>
      </c>
      <c r="AN21" s="8">
        <f t="shared" si="10"/>
        <v>2850</v>
      </c>
      <c r="AO21" s="8">
        <v>300</v>
      </c>
      <c r="AP21" s="8">
        <f t="shared" si="11"/>
        <v>8550</v>
      </c>
      <c r="AQ21" s="8">
        <v>900</v>
      </c>
      <c r="AR21" s="7">
        <f t="shared" si="12"/>
        <v>443878</v>
      </c>
      <c r="AS21" s="7">
        <f t="shared" si="13"/>
        <v>46724</v>
      </c>
      <c r="AT21" s="9">
        <f t="shared" si="14"/>
        <v>44.387799999999999</v>
      </c>
      <c r="AU21" s="7">
        <f t="shared" si="15"/>
        <v>0</v>
      </c>
      <c r="AV21" s="8">
        <v>0</v>
      </c>
      <c r="AW21" s="6" t="s">
        <v>24</v>
      </c>
      <c r="AX21" s="6" t="s">
        <v>131</v>
      </c>
      <c r="AY21" s="6" t="s">
        <v>129</v>
      </c>
      <c r="AZ21" s="6" t="s">
        <v>134</v>
      </c>
      <c r="BA21" s="7">
        <f t="shared" si="16"/>
        <v>443878</v>
      </c>
      <c r="BB21" s="8">
        <f t="shared" si="17"/>
        <v>46724</v>
      </c>
      <c r="BC21" s="7">
        <f t="shared" si="18"/>
        <v>-43878</v>
      </c>
      <c r="BD21" s="6" t="str">
        <f t="shared" si="19"/>
        <v>超预算</v>
      </c>
      <c r="BE21" s="6" t="s">
        <v>9</v>
      </c>
      <c r="BF21" s="43" t="s">
        <v>104</v>
      </c>
      <c r="BG21" s="43" t="s">
        <v>105</v>
      </c>
      <c r="BH21" s="43" t="s">
        <v>350</v>
      </c>
      <c r="BI21" s="43" t="s">
        <v>107</v>
      </c>
      <c r="BJ21" s="43" t="s">
        <v>351</v>
      </c>
      <c r="BK21" s="6" t="s">
        <v>252</v>
      </c>
      <c r="BL21" s="6" t="s">
        <v>138</v>
      </c>
      <c r="BM21" s="6" t="s">
        <v>253</v>
      </c>
      <c r="BN21" s="6">
        <f>IF($AA21="是",IF(COUNTIFS($B$17:$B21,$B21,$AA$17:$AA21,"是")=1,1,0),0)</f>
        <v>1</v>
      </c>
    </row>
    <row r="22" spans="1:66" ht="72" customHeight="1">
      <c r="A22" s="6" t="s">
        <v>211</v>
      </c>
      <c r="B22" s="6" t="s">
        <v>254</v>
      </c>
      <c r="C22" s="6" t="s">
        <v>255</v>
      </c>
      <c r="D22" s="6" t="s">
        <v>255</v>
      </c>
      <c r="E22" s="6" t="s">
        <v>153</v>
      </c>
      <c r="F22" s="6" t="s">
        <v>153</v>
      </c>
      <c r="G22" s="6" t="s">
        <v>17</v>
      </c>
      <c r="H22" s="6" t="s">
        <v>118</v>
      </c>
      <c r="I22" s="6" t="s">
        <v>119</v>
      </c>
      <c r="J22" s="6">
        <v>12</v>
      </c>
      <c r="K22" s="6" t="s">
        <v>120</v>
      </c>
      <c r="L22" s="6" t="s">
        <v>214</v>
      </c>
      <c r="M22" s="6" t="s">
        <v>215</v>
      </c>
      <c r="N22" s="6" t="s">
        <v>250</v>
      </c>
      <c r="O22" s="6" t="s">
        <v>236</v>
      </c>
      <c r="P22" s="6" t="s">
        <v>125</v>
      </c>
      <c r="Q22" s="6" t="s">
        <v>244</v>
      </c>
      <c r="R22" s="6" t="s">
        <v>256</v>
      </c>
      <c r="S22" s="6" t="s">
        <v>220</v>
      </c>
      <c r="T22" s="6" t="s">
        <v>129</v>
      </c>
      <c r="U22" s="6" t="s">
        <v>130</v>
      </c>
      <c r="V22" s="6" t="s">
        <v>131</v>
      </c>
      <c r="W22" s="6" t="s">
        <v>132</v>
      </c>
      <c r="X22" s="6" t="s">
        <v>160</v>
      </c>
      <c r="Y22" s="6">
        <v>84</v>
      </c>
      <c r="Z22" s="6" t="s">
        <v>161</v>
      </c>
      <c r="AA22" s="6" t="s">
        <v>131</v>
      </c>
      <c r="AB22" s="7">
        <f t="shared" si="4"/>
        <v>292600</v>
      </c>
      <c r="AC22" s="8">
        <v>30800</v>
      </c>
      <c r="AD22" s="8">
        <f t="shared" si="5"/>
        <v>79800</v>
      </c>
      <c r="AE22" s="8">
        <v>8400</v>
      </c>
      <c r="AF22" s="8">
        <f t="shared" si="6"/>
        <v>28500</v>
      </c>
      <c r="AG22" s="8">
        <v>3000</v>
      </c>
      <c r="AH22" s="8">
        <f t="shared" si="7"/>
        <v>8550</v>
      </c>
      <c r="AI22" s="8">
        <v>900</v>
      </c>
      <c r="AJ22" s="8">
        <f t="shared" si="8"/>
        <v>16644</v>
      </c>
      <c r="AK22" s="8">
        <v>1752</v>
      </c>
      <c r="AL22" s="8">
        <f t="shared" si="9"/>
        <v>16359</v>
      </c>
      <c r="AM22" s="8">
        <v>1722</v>
      </c>
      <c r="AN22" s="8">
        <f t="shared" si="10"/>
        <v>2850</v>
      </c>
      <c r="AO22" s="8">
        <v>300</v>
      </c>
      <c r="AP22" s="8">
        <f t="shared" si="11"/>
        <v>8550</v>
      </c>
      <c r="AQ22" s="8">
        <v>900</v>
      </c>
      <c r="AR22" s="7">
        <f t="shared" si="12"/>
        <v>453853</v>
      </c>
      <c r="AS22" s="7">
        <f t="shared" si="13"/>
        <v>47774</v>
      </c>
      <c r="AT22" s="9">
        <f t="shared" si="14"/>
        <v>45.385300000000001</v>
      </c>
      <c r="AU22" s="7">
        <f t="shared" si="15"/>
        <v>0</v>
      </c>
      <c r="AV22" s="8">
        <v>0</v>
      </c>
      <c r="AW22" s="6" t="s">
        <v>24</v>
      </c>
      <c r="AX22" s="6" t="s">
        <v>131</v>
      </c>
      <c r="AY22" s="6" t="s">
        <v>129</v>
      </c>
      <c r="AZ22" s="6" t="s">
        <v>134</v>
      </c>
      <c r="BA22" s="7">
        <f t="shared" si="16"/>
        <v>453853</v>
      </c>
      <c r="BB22" s="8">
        <f t="shared" si="17"/>
        <v>47774</v>
      </c>
      <c r="BC22" s="7">
        <f t="shared" si="18"/>
        <v>-53853</v>
      </c>
      <c r="BD22" s="6" t="str">
        <f t="shared" si="19"/>
        <v>超预算</v>
      </c>
      <c r="BE22" s="6" t="s">
        <v>9</v>
      </c>
      <c r="BF22" s="43" t="s">
        <v>104</v>
      </c>
      <c r="BG22" s="43" t="s">
        <v>105</v>
      </c>
      <c r="BH22" s="43" t="s">
        <v>350</v>
      </c>
      <c r="BI22" s="43" t="s">
        <v>107</v>
      </c>
      <c r="BJ22" s="43" t="s">
        <v>351</v>
      </c>
      <c r="BK22" s="6" t="s">
        <v>257</v>
      </c>
      <c r="BL22" s="6" t="s">
        <v>138</v>
      </c>
      <c r="BM22" s="6" t="s">
        <v>258</v>
      </c>
      <c r="BN22" s="6">
        <f>IF($AA22="是",IF(COUNTIFS($B$17:$B22,$B22,$AA$17:$AA22,"是")=1,1,0),0)</f>
        <v>1</v>
      </c>
    </row>
    <row r="23" spans="1:66" ht="72" customHeight="1">
      <c r="A23" s="6" t="s">
        <v>211</v>
      </c>
      <c r="B23" s="6" t="s">
        <v>259</v>
      </c>
      <c r="C23" s="6" t="s">
        <v>260</v>
      </c>
      <c r="D23" s="6" t="s">
        <v>260</v>
      </c>
      <c r="E23" s="6" t="s">
        <v>153</v>
      </c>
      <c r="F23" s="6" t="s">
        <v>153</v>
      </c>
      <c r="G23" s="6" t="s">
        <v>17</v>
      </c>
      <c r="H23" s="6" t="s">
        <v>118</v>
      </c>
      <c r="I23" s="6" t="s">
        <v>119</v>
      </c>
      <c r="J23" s="6">
        <v>12</v>
      </c>
      <c r="K23" s="6" t="s">
        <v>120</v>
      </c>
      <c r="L23" s="6" t="s">
        <v>214</v>
      </c>
      <c r="M23" s="6" t="s">
        <v>215</v>
      </c>
      <c r="N23" s="6" t="s">
        <v>261</v>
      </c>
      <c r="O23" s="6" t="s">
        <v>236</v>
      </c>
      <c r="P23" s="6" t="s">
        <v>125</v>
      </c>
      <c r="Q23" s="6" t="s">
        <v>244</v>
      </c>
      <c r="R23" s="6" t="s">
        <v>262</v>
      </c>
      <c r="S23" s="6" t="s">
        <v>220</v>
      </c>
      <c r="T23" s="6" t="s">
        <v>129</v>
      </c>
      <c r="U23" s="6" t="s">
        <v>130</v>
      </c>
      <c r="V23" s="6" t="s">
        <v>131</v>
      </c>
      <c r="W23" s="6" t="s">
        <v>132</v>
      </c>
      <c r="X23" s="6" t="s">
        <v>160</v>
      </c>
      <c r="Y23" s="6">
        <v>83</v>
      </c>
      <c r="Z23" s="6" t="s">
        <v>161</v>
      </c>
      <c r="AA23" s="6" t="s">
        <v>131</v>
      </c>
      <c r="AB23" s="7">
        <f t="shared" si="4"/>
        <v>299250</v>
      </c>
      <c r="AC23" s="8">
        <v>31500</v>
      </c>
      <c r="AD23" s="8">
        <f t="shared" si="5"/>
        <v>79800</v>
      </c>
      <c r="AE23" s="8">
        <v>8400</v>
      </c>
      <c r="AF23" s="8">
        <f t="shared" si="6"/>
        <v>28500</v>
      </c>
      <c r="AG23" s="8">
        <v>3000</v>
      </c>
      <c r="AH23" s="8">
        <f t="shared" si="7"/>
        <v>8550</v>
      </c>
      <c r="AI23" s="8">
        <v>900</v>
      </c>
      <c r="AJ23" s="8">
        <f t="shared" si="8"/>
        <v>16644</v>
      </c>
      <c r="AK23" s="8">
        <v>1752</v>
      </c>
      <c r="AL23" s="8">
        <f t="shared" si="9"/>
        <v>16359</v>
      </c>
      <c r="AM23" s="8">
        <v>1722</v>
      </c>
      <c r="AN23" s="8">
        <f t="shared" si="10"/>
        <v>2850</v>
      </c>
      <c r="AO23" s="8">
        <v>300</v>
      </c>
      <c r="AP23" s="8">
        <f t="shared" si="11"/>
        <v>8550</v>
      </c>
      <c r="AQ23" s="8">
        <v>900</v>
      </c>
      <c r="AR23" s="7">
        <f t="shared" si="12"/>
        <v>460503</v>
      </c>
      <c r="AS23" s="7">
        <f t="shared" si="13"/>
        <v>48474</v>
      </c>
      <c r="AT23" s="9">
        <f t="shared" si="14"/>
        <v>46.0503</v>
      </c>
      <c r="AU23" s="7">
        <f t="shared" si="15"/>
        <v>0</v>
      </c>
      <c r="AV23" s="8">
        <v>0</v>
      </c>
      <c r="AW23" s="6" t="s">
        <v>24</v>
      </c>
      <c r="AX23" s="6" t="s">
        <v>131</v>
      </c>
      <c r="AY23" s="6" t="s">
        <v>129</v>
      </c>
      <c r="AZ23" s="6" t="s">
        <v>134</v>
      </c>
      <c r="BA23" s="7">
        <f t="shared" si="16"/>
        <v>460503</v>
      </c>
      <c r="BB23" s="8">
        <f t="shared" si="17"/>
        <v>48474</v>
      </c>
      <c r="BC23" s="7">
        <f t="shared" si="18"/>
        <v>-60503</v>
      </c>
      <c r="BD23" s="6" t="str">
        <f t="shared" si="19"/>
        <v>超预算</v>
      </c>
      <c r="BE23" s="6" t="s">
        <v>9</v>
      </c>
      <c r="BF23" s="43" t="s">
        <v>104</v>
      </c>
      <c r="BG23" s="43" t="s">
        <v>105</v>
      </c>
      <c r="BH23" s="43" t="s">
        <v>350</v>
      </c>
      <c r="BI23" s="43" t="s">
        <v>107</v>
      </c>
      <c r="BJ23" s="43" t="s">
        <v>351</v>
      </c>
      <c r="BK23" s="6" t="s">
        <v>263</v>
      </c>
      <c r="BL23" s="6" t="s">
        <v>138</v>
      </c>
      <c r="BM23" s="6" t="s">
        <v>264</v>
      </c>
      <c r="BN23" s="6">
        <f>IF($AA23="是",IF(COUNTIFS($B$17:$B23,$B23,$AA$17:$AA23,"是")=1,1,0),0)</f>
        <v>1</v>
      </c>
    </row>
    <row r="24" spans="1:66" ht="72" customHeight="1">
      <c r="A24" s="6" t="s">
        <v>211</v>
      </c>
      <c r="B24" s="6" t="s">
        <v>265</v>
      </c>
      <c r="C24" s="6" t="s">
        <v>266</v>
      </c>
      <c r="D24" s="6" t="s">
        <v>266</v>
      </c>
      <c r="E24" s="6" t="s">
        <v>153</v>
      </c>
      <c r="F24" s="6" t="s">
        <v>153</v>
      </c>
      <c r="G24" s="6" t="s">
        <v>17</v>
      </c>
      <c r="H24" s="6" t="s">
        <v>118</v>
      </c>
      <c r="I24" s="6" t="s">
        <v>119</v>
      </c>
      <c r="J24" s="6">
        <v>12</v>
      </c>
      <c r="K24" s="6" t="s">
        <v>120</v>
      </c>
      <c r="L24" s="6" t="s">
        <v>214</v>
      </c>
      <c r="M24" s="6" t="s">
        <v>215</v>
      </c>
      <c r="N24" s="6" t="s">
        <v>267</v>
      </c>
      <c r="O24" s="6" t="s">
        <v>236</v>
      </c>
      <c r="P24" s="6" t="s">
        <v>125</v>
      </c>
      <c r="Q24" s="6" t="s">
        <v>244</v>
      </c>
      <c r="R24" s="6" t="s">
        <v>268</v>
      </c>
      <c r="S24" s="6" t="s">
        <v>220</v>
      </c>
      <c r="T24" s="6" t="s">
        <v>129</v>
      </c>
      <c r="U24" s="6" t="s">
        <v>130</v>
      </c>
      <c r="V24" s="6" t="s">
        <v>131</v>
      </c>
      <c r="W24" s="6" t="s">
        <v>132</v>
      </c>
      <c r="X24" s="6" t="s">
        <v>180</v>
      </c>
      <c r="Y24" s="6">
        <v>80</v>
      </c>
      <c r="Z24" s="6" t="s">
        <v>181</v>
      </c>
      <c r="AA24" s="6" t="s">
        <v>131</v>
      </c>
      <c r="AB24" s="7">
        <f t="shared" si="4"/>
        <v>315495</v>
      </c>
      <c r="AC24" s="8">
        <v>33210</v>
      </c>
      <c r="AD24" s="8">
        <f t="shared" si="5"/>
        <v>79800</v>
      </c>
      <c r="AE24" s="8">
        <v>8400</v>
      </c>
      <c r="AF24" s="8">
        <f t="shared" si="6"/>
        <v>28500</v>
      </c>
      <c r="AG24" s="8">
        <v>3000</v>
      </c>
      <c r="AH24" s="8">
        <f t="shared" si="7"/>
        <v>8550</v>
      </c>
      <c r="AI24" s="8">
        <v>900</v>
      </c>
      <c r="AJ24" s="8">
        <f t="shared" si="8"/>
        <v>16644</v>
      </c>
      <c r="AK24" s="8">
        <v>1752</v>
      </c>
      <c r="AL24" s="8">
        <f t="shared" si="9"/>
        <v>16359</v>
      </c>
      <c r="AM24" s="8">
        <v>1722</v>
      </c>
      <c r="AN24" s="8">
        <f t="shared" si="10"/>
        <v>2850</v>
      </c>
      <c r="AO24" s="8">
        <v>300</v>
      </c>
      <c r="AP24" s="8">
        <f t="shared" si="11"/>
        <v>8550</v>
      </c>
      <c r="AQ24" s="8">
        <v>900</v>
      </c>
      <c r="AR24" s="7">
        <f t="shared" si="12"/>
        <v>476748</v>
      </c>
      <c r="AS24" s="7">
        <f t="shared" si="13"/>
        <v>50184</v>
      </c>
      <c r="AT24" s="9">
        <f t="shared" si="14"/>
        <v>47.674799999999998</v>
      </c>
      <c r="AU24" s="7">
        <f t="shared" si="15"/>
        <v>0</v>
      </c>
      <c r="AV24" s="8">
        <v>0</v>
      </c>
      <c r="AW24" s="6" t="s">
        <v>30</v>
      </c>
      <c r="AX24" s="6" t="s">
        <v>135</v>
      </c>
      <c r="AY24" s="6" t="s">
        <v>129</v>
      </c>
      <c r="AZ24" s="6" t="s">
        <v>134</v>
      </c>
      <c r="BA24" s="7">
        <f t="shared" si="16"/>
        <v>476748</v>
      </c>
      <c r="BB24" s="8">
        <f t="shared" si="17"/>
        <v>50184</v>
      </c>
      <c r="BC24" s="7">
        <f t="shared" si="18"/>
        <v>-76748</v>
      </c>
      <c r="BD24" s="6" t="str">
        <f t="shared" si="19"/>
        <v>超预算</v>
      </c>
      <c r="BE24" s="6" t="s">
        <v>9</v>
      </c>
      <c r="BF24" s="43" t="s">
        <v>104</v>
      </c>
      <c r="BG24" s="43" t="s">
        <v>105</v>
      </c>
      <c r="BH24" s="43" t="s">
        <v>350</v>
      </c>
      <c r="BI24" s="43" t="s">
        <v>107</v>
      </c>
      <c r="BJ24" s="43" t="s">
        <v>351</v>
      </c>
      <c r="BK24" s="6" t="s">
        <v>269</v>
      </c>
      <c r="BL24" s="6" t="s">
        <v>138</v>
      </c>
      <c r="BM24" s="6" t="s">
        <v>270</v>
      </c>
      <c r="BN24" s="6">
        <f>IF($AA24="是",IF(COUNTIFS($B$17:$B24,$B24,$AA$17:$AA24,"是")=1,1,0),0)</f>
        <v>1</v>
      </c>
    </row>
  </sheetData>
  <mergeCells count="30">
    <mergeCell ref="G13:H13"/>
    <mergeCell ref="G14:H14"/>
    <mergeCell ref="I13:J13"/>
    <mergeCell ref="I14:J14"/>
    <mergeCell ref="K13:L13"/>
    <mergeCell ref="K14:L14"/>
    <mergeCell ref="A13:B13"/>
    <mergeCell ref="A14:B14"/>
    <mergeCell ref="C13:D13"/>
    <mergeCell ref="C14:D14"/>
    <mergeCell ref="E13:F13"/>
    <mergeCell ref="E14:F14"/>
    <mergeCell ref="A8:M8"/>
    <mergeCell ref="A10:B10"/>
    <mergeCell ref="A11:B11"/>
    <mergeCell ref="C10:D10"/>
    <mergeCell ref="C11:D11"/>
    <mergeCell ref="E10:F10"/>
    <mergeCell ref="E11:F11"/>
    <mergeCell ref="G10:H10"/>
    <mergeCell ref="G11:H11"/>
    <mergeCell ref="I10:J10"/>
    <mergeCell ref="I11:J11"/>
    <mergeCell ref="K10:L10"/>
    <mergeCell ref="K11:L11"/>
    <mergeCell ref="A1:M1"/>
    <mergeCell ref="E3:M3"/>
    <mergeCell ref="A5:M5"/>
    <mergeCell ref="A6:M6"/>
    <mergeCell ref="A7:M7"/>
  </mergeCells>
  <phoneticPr fontId="20" type="noConversion"/>
  <conditionalFormatting sqref="I17:I24">
    <cfRule type="containsText" dxfId="19" priority="4" operator="containsText" text="1.5年"/>
    <cfRule type="containsText" dxfId="18" priority="5" operator="containsText" text="2年"/>
  </conditionalFormatting>
  <conditionalFormatting sqref="Z17:Z24">
    <cfRule type="containsText" dxfId="17" priority="6" operator="containsText" text="高"/>
    <cfRule type="containsText" dxfId="16" priority="7" operator="containsText" text="低"/>
  </conditionalFormatting>
  <conditionalFormatting sqref="AR17:AR24">
    <cfRule type="cellIs" dxfId="15" priority="1" operator="lessThanOrEqual">
      <formula>400000</formula>
    </cfRule>
    <cfRule type="cellIs" dxfId="14" priority="2" operator="between">
      <formula>400001</formula>
      <formula>440000</formula>
    </cfRule>
    <cfRule type="cellIs" dxfId="13" priority="3" operator="greaterThan">
      <formula>440000</formula>
    </cfRule>
  </conditionalFormatting>
  <conditionalFormatting sqref="AW17:AW24">
    <cfRule type="containsText" dxfId="12" priority="8" operator="containsText" text="自动"/>
    <cfRule type="containsText" dxfId="11" priority="9" operator="containsText" text="单独"/>
    <cfRule type="containsText" dxfId="10" priority="10" operator="containsText" text="待确认"/>
  </conditionalFormatting>
  <dataValidations count="14">
    <dataValidation type="list" sqref="A17:A24" xr:uid="{00000000-0002-0000-0200-000000000000}">
      <formula1>"香港,澳门,英国,新西兰"</formula1>
    </dataValidation>
    <dataValidation type="list" sqref="G17:G24" xr:uid="{00000000-0002-0000-0200-000001000000}">
      <formula1>"经济学,应用经济学,金融学,金融与经济,商业分析,管理学,公共政策,国际政治经济,商法,知识产权法,其他"</formula1>
    </dataValidation>
    <dataValidation type="list" sqref="I17:I24" xr:uid="{00000000-0002-0000-0200-000002000000}">
      <formula1>"1年,1.5年,2年及以上（排除）"</formula1>
    </dataValidation>
    <dataValidation type="list" sqref="T17:T24" xr:uid="{00000000-0002-0000-0200-000003000000}">
      <formula1>"是,否,待确认,是（CET-6≥490）"</formula1>
    </dataValidation>
    <dataValidation type="list" sqref="U17:U24" xr:uid="{00000000-0002-0000-0200-000004000000}">
      <formula1>"不要求,不要求；GMAT/GRE建议提交,不要求（GMAT Verbal可作英语证明）,待确认"</formula1>
    </dataValidation>
    <dataValidation type="list" sqref="V17:V24 AX17:AX24" xr:uid="{00000000-0002-0000-0200-000005000000}">
      <formula1>"是,否,待确认"</formula1>
    </dataValidation>
    <dataValidation type="list" sqref="W17:W24" xr:uid="{00000000-0002-0000-0200-000006000000}">
      <formula1>"是,否,不适用,待确认"</formula1>
    </dataValidation>
    <dataValidation type="list" sqref="X17:X24" xr:uid="{00000000-0002-0000-0200-000007000000}">
      <formula1>"冲刺,匹配,相对稳妥"</formula1>
    </dataValidation>
    <dataValidation type="list" sqref="Z17:Z24" xr:uid="{00000000-0002-0000-0200-000008000000}">
      <formula1>"高,中,低,不建议"</formula1>
    </dataValidation>
    <dataValidation type="list" sqref="AA17:AA24 AY17:AY24" xr:uid="{00000000-0002-0000-0200-000009000000}">
      <formula1>"是,否"</formula1>
    </dataValidation>
    <dataValidation type="list" sqref="AW17:AW24" xr:uid="{00000000-0002-0000-0200-00000A000000}">
      <formula1>"自动随录取审核,需要单独申请,没有明确奖学金,奖学金信息待确认"</formula1>
    </dataValidation>
    <dataValidation type="list" sqref="AZ17:AZ24" xr:uid="{00000000-0002-0000-0200-00000D000000}">
      <formula1>"高,中,低,待确认"</formula1>
    </dataValidation>
    <dataValidation type="list" sqref="BD17:BD24" xr:uid="{00000000-0002-0000-0200-00000E000000}">
      <formula1>"预算内,临界预算,超预算,排除"</formula1>
    </dataValidation>
    <dataValidation type="list" sqref="BL17:BL24" xr:uid="{00000000-0002-0000-0200-00000F000000}">
      <formula1>"无需复核,需在申请前复核2027学费与截止日期,结论已核验；如接受2年制，可另开澳门专项清单"</formula1>
    </dataValidation>
  </dataValidations>
  <hyperlinks>
    <hyperlink ref="BF17" r:id="rId1" tooltip="官方来源：https://www.york.ac.uk/study/postgraduate-taught/courses/msc-economics/" xr:uid="{5500342D-5ABF-4BCE-8712-CAF71E0C9C13}"/>
    <hyperlink ref="BG17" r:id="rId2" tooltip="官方来源：https://www.york.ac.uk/study/postgraduate-taught/courses/msc-economics/" xr:uid="{3ACD41BE-4249-4E6F-8961-D71C4F1CE201}"/>
    <hyperlink ref="BH17" r:id="rId3" tooltip="官方来源：https://www.york.ac.uk/study/postgraduate-taught/courses/msc-economics/" xr:uid="{FDC76B54-0316-4737-ACA2-593F2D3E51D6}"/>
    <hyperlink ref="BI17" r:id="rId4" tooltip="官方来源：https://www.york.ac.uk/economics/study/postgraduate-taught/funding/" xr:uid="{20718140-C57C-44EB-AEC2-971B244FBCE2}"/>
    <hyperlink ref="BJ17" r:id="rId5" tooltip="官方来源：https://www.gov.uk/student-visa/money" xr:uid="{3F9E5575-9B34-4D4B-92E2-B17FBFC640B5}"/>
    <hyperlink ref="BF18" r:id="rId6" tooltip="官方来源：https://www.qub.ac.uk/courses/postgraduate-taught/international-political-economy-msc/" xr:uid="{3CB914AB-6907-4D1B-AA5F-035EC45D3F94}"/>
    <hyperlink ref="BG18" r:id="rId7" tooltip="官方来源：https://www.qub.ac.uk/courses/postgraduate-taught/international-political-economy-msc/" xr:uid="{A04AFED7-1AB2-4753-A97E-582C730758E9}"/>
    <hyperlink ref="BH18" r:id="rId8" tooltip="官方来源：https://www.qub.ac.uk/courses/postgraduate-taught/international-political-economy-msc/" xr:uid="{FDCB6FF4-0A31-426F-ADF8-50C7A9D2E22F}"/>
    <hyperlink ref="BJ18" r:id="rId9" tooltip="官方来源：https://www.gov.uk/student-visa/money" xr:uid="{E203360C-433F-4692-8789-8B432D929977}"/>
    <hyperlink ref="BF19" r:id="rId10" tooltip="官方来源：https://www.exeter.ac.uk/masters-degrees/msc-economics/" xr:uid="{ABA630EB-B153-4A5F-8C5B-DD044276AAC2}"/>
    <hyperlink ref="BG19" r:id="rId11" tooltip="官方来源：https://www.exeter.ac.uk/masters-degrees/msc-economics/" xr:uid="{406E418B-5217-42CC-9809-F88AE4A8BEEF}"/>
    <hyperlink ref="BH19" r:id="rId12" tooltip="官方来源：https://www.exeter.ac.uk/masters-degrees/msc-economics/" xr:uid="{14A5BD04-7C57-457C-8F71-FCF9F7FC6910}"/>
    <hyperlink ref="BI19" r:id="rId13" tooltip="官方来源：https://www.exeter.ac.uk/study/funding/award/?id=5507" xr:uid="{8E70ED4B-1E09-4AC9-BAFF-1DDE7D55585B}"/>
    <hyperlink ref="BJ19" r:id="rId14" tooltip="官方来源：https://www.gov.uk/student-visa/money" xr:uid="{532E129B-650D-4D49-AD5D-B851FB1B4983}"/>
    <hyperlink ref="BF20" r:id="rId15" tooltip="官方来源：https://sheffield.ac.uk/postgraduate/taught/courses/2026/economics-msc" xr:uid="{AF454CDF-0B64-4895-8304-BEFDB7E06E28}"/>
    <hyperlink ref="BG20" r:id="rId16" tooltip="官方来源：https://sheffield.ac.uk/postgraduate/taught/courses/2026/economics-msc" xr:uid="{50469E5A-F5C0-44CC-8D8B-1D06728A5928}"/>
    <hyperlink ref="BH20" r:id="rId17" tooltip="官方来源：https://sheffield.ac.uk/postgraduate/taught/courses/2026/economics-msc" xr:uid="{48658631-30EE-4FD1-AB9E-23A1CCB701BA}"/>
    <hyperlink ref="BI20" r:id="rId18" tooltip="官方来源：https://sheffield.ac.uk/international/fees-and-funding/scholarships/postgraduate" xr:uid="{6F1E995B-4EC9-4263-B57D-62DC7598729B}"/>
    <hyperlink ref="BJ20" r:id="rId19" tooltip="官方来源：https://www.gov.uk/student-visa/money" xr:uid="{E2AF9E23-7AFB-4103-B010-BDFBE1068032}"/>
    <hyperlink ref="BF21" r:id="rId20" tooltip="官方来源：https://courses.leeds.ac.uk/f922/economics-msc" xr:uid="{1E2E936D-7E97-4E7D-8ED6-ECB32D956E59}"/>
    <hyperlink ref="BG21" r:id="rId21" tooltip="官方来源：https://courses.leeds.ac.uk/f922/economics-msc" xr:uid="{0D0C29DF-4A47-4EFA-BC99-F50040306873}"/>
    <hyperlink ref="BH21" r:id="rId22" tooltip="官方来源：https://courses.leeds.ac.uk/f922/economics-msc" xr:uid="{178A43FC-9F47-4865-BC57-D5A59AE2BEFA}"/>
    <hyperlink ref="BI21" r:id="rId23" tooltip="官方来源：https://business.leeds.ac.uk/directory/lubs-scholarships" xr:uid="{CD787629-5D9F-4A61-A7F7-58EAEF999C90}"/>
    <hyperlink ref="BJ21" r:id="rId24" tooltip="官方来源：https://www.gov.uk/student-visa/money" xr:uid="{4169932B-E3B3-4D85-B05E-9942CDA79E6B}"/>
    <hyperlink ref="BF22" r:id="rId25" tooltip="官方来源：https://www.nottingham.ac.uk/pgstudy/course/taught/Economics-MSc" xr:uid="{4DC9BE8A-0D5F-4F69-9F54-48077BA3A4ED}"/>
    <hyperlink ref="BG22" r:id="rId26" tooltip="官方来源：https://www.nottingham.ac.uk/pgstudy/course/taught/Economics-MSc" xr:uid="{03AEBECE-15DF-4817-81B2-C3AB40EA80A9}"/>
    <hyperlink ref="BH22" r:id="rId27" tooltip="官方来源：https://www.nottingham.ac.uk/pgstudy/course/taught/Economics-MSc" xr:uid="{4DCD26A2-FC3A-411C-8E28-20AD0851C6F8}"/>
    <hyperlink ref="BI22" r:id="rId28" tooltip="官方来源：https://www.nottingham.ac.uk/pgstudy/funding/international-scholarships" xr:uid="{1E35065E-20ED-4D08-99F7-6AC5D7B2AC48}"/>
    <hyperlink ref="BJ22" r:id="rId29" tooltip="官方来源：https://www.gov.uk/student-visa/money" xr:uid="{96EF3348-F1E9-489C-833E-917F37F130C9}"/>
    <hyperlink ref="BF23" r:id="rId30" tooltip="官方来源：https://www.birmingham.ac.uk/study/postgraduate/subjects/business-and-management-courses/economics-msc" xr:uid="{2ABDF374-C5B7-44B0-959B-0105A2390939}"/>
    <hyperlink ref="BG23" r:id="rId31" tooltip="官方来源：https://www.birmingham.ac.uk/study/postgraduate/subjects/business-and-management-courses/economics-msc?location=Singapore" xr:uid="{B63885EE-4E8A-4413-B86F-9962E502BF62}"/>
    <hyperlink ref="BH23" r:id="rId32" tooltip="官方来源：https://www.birmingham.ac.uk/study/postgraduate/subjects/business-and-management-courses/economics-msc" xr:uid="{458A5AA3-DC0B-4A20-855A-610B3F4892D1}"/>
    <hyperlink ref="BI23" r:id="rId33" tooltip="官方来源：https://www.birmingham.ac.uk/study/postgraduate/fees-funding/scholarships" xr:uid="{731C143B-2461-42E4-8B4A-CF72CA27A384}"/>
    <hyperlink ref="BJ23" r:id="rId34" tooltip="官方来源：https://www.gov.uk/student-visa/money" xr:uid="{EAC91AC4-0D06-448F-9AD5-9971E064B343}"/>
    <hyperlink ref="BF24" r:id="rId35" tooltip="官方来源：https://www.gla.ac.uk/postgraduate/taught/economics-msc/" xr:uid="{0A8275EA-46BE-49CB-88AD-F7F71A5BEDD9}"/>
    <hyperlink ref="BG24" r:id="rId36" tooltip="官方来源：https://www.gla.ac.uk/postgraduate/taught/economics-msc/" xr:uid="{67035C62-6FD9-4527-89DC-C35D65598EFD}"/>
    <hyperlink ref="BH24" r:id="rId37" tooltip="官方来源：https://www.gla.ac.uk/postgraduate/taught/economics-msc/" xr:uid="{E58202C2-3E06-4F52-A461-9F1AAEAB6DD0}"/>
    <hyperlink ref="BI24" r:id="rId38" tooltip="官方来源：https://www.gla.ac.uk/scholarships/" xr:uid="{28AA7B08-5086-4B7B-83BE-F49627D57E3C}"/>
    <hyperlink ref="BJ24" r:id="rId39" tooltip="官方来源：https://www.gov.uk/student-visa/money" xr:uid="{A9ACFFA0-8828-481A-B668-1CE250D8FCF5}"/>
  </hyperlinks>
  <pageMargins left="0.7" right="0.7" top="0.75" bottom="0.75" header="0.3" footer="0.3"/>
  <drawing r:id="rId40"/>
  <tableParts count="1">
    <tablePart r:id="rId4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23"/>
  <sheetViews>
    <sheetView showGridLines="0" workbookViewId="0">
      <pane xSplit="5" ySplit="16" topLeftCell="F17" activePane="bottomRight" state="frozenSplit"/>
      <selection pane="bottomLeft" activeCell="A17" sqref="A17"/>
      <selection pane="topRight" activeCell="F1" sqref="F1"/>
      <selection pane="bottomRight" sqref="A1:M1"/>
    </sheetView>
  </sheetViews>
  <sheetFormatPr defaultRowHeight="14"/>
  <cols>
    <col min="1" max="1" width="10" customWidth="1"/>
    <col min="2" max="2" width="18" customWidth="1"/>
    <col min="3" max="3" width="11" customWidth="1"/>
    <col min="4" max="4" width="15" customWidth="1"/>
    <col min="5" max="5" width="32" customWidth="1"/>
    <col min="6" max="6" width="20" customWidth="1"/>
    <col min="7" max="7" width="13" customWidth="1"/>
    <col min="8" max="8" width="10" customWidth="1"/>
    <col min="9" max="9" width="12" customWidth="1"/>
    <col min="10" max="10" width="9" customWidth="1"/>
    <col min="11" max="11" width="10" customWidth="1"/>
    <col min="12" max="12" width="12" customWidth="1"/>
    <col min="13" max="13" width="24" customWidth="1"/>
    <col min="14" max="15" width="22" customWidth="1"/>
    <col min="16" max="16" width="18" customWidth="1"/>
    <col min="17" max="17" width="28" customWidth="1"/>
    <col min="18" max="18" width="34" customWidth="1"/>
    <col min="19" max="19" width="25" customWidth="1"/>
    <col min="20" max="20" width="18" customWidth="1"/>
    <col min="21" max="21" width="24" customWidth="1"/>
    <col min="22" max="23" width="14" customWidth="1"/>
    <col min="24" max="24" width="12" customWidth="1"/>
    <col min="25" max="25" width="10" customWidth="1"/>
    <col min="26" max="27" width="12" customWidth="1"/>
    <col min="28" max="28" width="14" customWidth="1"/>
    <col min="29" max="29" width="13" customWidth="1"/>
    <col min="30" max="30" width="14" customWidth="1"/>
    <col min="31" max="31" width="13" customWidth="1"/>
    <col min="32" max="32" width="14" customWidth="1"/>
    <col min="33" max="33" width="13" customWidth="1"/>
    <col min="34" max="34" width="14" customWidth="1"/>
    <col min="35" max="35" width="13" customWidth="1"/>
    <col min="36" max="36" width="14" customWidth="1"/>
    <col min="37" max="37" width="13" customWidth="1"/>
    <col min="38" max="38" width="16" customWidth="1"/>
    <col min="39" max="39" width="14" customWidth="1"/>
    <col min="40" max="40" width="18" customWidth="1"/>
    <col min="41" max="42" width="16" customWidth="1"/>
    <col min="43" max="43" width="14" customWidth="1"/>
    <col min="44" max="45" width="16" customWidth="1"/>
    <col min="46" max="46" width="13" customWidth="1"/>
    <col min="47" max="47" width="15" customWidth="1"/>
    <col min="48" max="48" width="14" customWidth="1"/>
    <col min="49" max="49" width="20" customWidth="1"/>
    <col min="50" max="50" width="14" customWidth="1"/>
    <col min="51" max="51" width="16" customWidth="1"/>
    <col min="52" max="52" width="14" customWidth="1"/>
    <col min="53" max="54" width="16" customWidth="1"/>
    <col min="55" max="55" width="18" customWidth="1"/>
    <col min="56" max="56" width="13" customWidth="1"/>
    <col min="57" max="57" width="12" customWidth="1"/>
    <col min="58" max="60" width="16" customWidth="1"/>
    <col min="61" max="61" width="18" customWidth="1"/>
    <col min="62" max="62" width="20" customWidth="1"/>
    <col min="63" max="63" width="44" customWidth="1"/>
    <col min="64" max="64" width="28" customWidth="1"/>
    <col min="65" max="65" width="38" customWidth="1"/>
    <col min="66" max="66" width="13" customWidth="1"/>
  </cols>
  <sheetData>
    <row r="1" spans="1:80" ht="34" customHeight="1">
      <c r="A1" s="40" t="s">
        <v>271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BP1" s="11" t="s">
        <v>1</v>
      </c>
      <c r="BQ1" s="11" t="s">
        <v>2</v>
      </c>
      <c r="BR1" s="11" t="s">
        <v>3</v>
      </c>
      <c r="BS1" s="11"/>
      <c r="BT1" s="11"/>
      <c r="BU1" s="11" t="s">
        <v>4</v>
      </c>
      <c r="BV1" s="11" t="s">
        <v>5</v>
      </c>
      <c r="BW1" s="11"/>
      <c r="BX1" s="11" t="s">
        <v>6</v>
      </c>
      <c r="BY1" s="11" t="s">
        <v>5</v>
      </c>
      <c r="BZ1" s="11"/>
      <c r="CA1" s="11" t="s">
        <v>7</v>
      </c>
      <c r="CB1" s="11" t="s">
        <v>5</v>
      </c>
    </row>
    <row r="2" spans="1:80">
      <c r="A2" s="15" t="s">
        <v>8</v>
      </c>
      <c r="B2" s="1" t="s">
        <v>9</v>
      </c>
      <c r="C2" s="1"/>
      <c r="D2" s="15" t="s">
        <v>10</v>
      </c>
      <c r="E2" s="1">
        <v>2027</v>
      </c>
      <c r="F2" s="1"/>
      <c r="G2" s="15" t="s">
        <v>11</v>
      </c>
      <c r="H2" s="4">
        <v>4.3</v>
      </c>
      <c r="I2" s="1" t="s">
        <v>12</v>
      </c>
      <c r="J2" s="1" t="s">
        <v>272</v>
      </c>
      <c r="K2" s="1" t="s">
        <v>14</v>
      </c>
      <c r="L2" s="1" t="s">
        <v>15</v>
      </c>
      <c r="M2" s="1"/>
      <c r="BP2" s="11" t="str">
        <f t="shared" ref="BP2:BP8" si="0">IF($AA17="是",$C17&amp;"-"&amp;$F17,"无符合条件项目")</f>
        <v>Waikato-MAppFin</v>
      </c>
      <c r="BQ2" s="12">
        <f t="shared" ref="BQ2:BQ8" si="1">IF($AA17="是",$AT17,0)</f>
        <v>37.796100000000003</v>
      </c>
      <c r="BR2" s="12">
        <f t="shared" ref="BR2:BR8" si="2">$B$3/10000</f>
        <v>40</v>
      </c>
      <c r="BS2" s="11"/>
      <c r="BT2" s="11"/>
      <c r="BU2" s="11" t="s">
        <v>16</v>
      </c>
      <c r="BV2" s="11">
        <f>COUNTIFS($AA$17:$AA$23,"是",$BD$17:$BD$23,$BU2)</f>
        <v>4</v>
      </c>
      <c r="BW2" s="11"/>
      <c r="BX2" s="11" t="s">
        <v>17</v>
      </c>
      <c r="BY2" s="11">
        <f t="shared" ref="BY2:BY12" si="3">COUNTIFS($AA$17:$AA$23,"是",$G$17:$G$23,$BX2)</f>
        <v>1</v>
      </c>
      <c r="BZ2" s="11"/>
      <c r="CA2" s="11" t="s">
        <v>18</v>
      </c>
      <c r="CB2" s="11">
        <f>COUNTIFS($AA$17:$AA$23,"是",$AW$17:$AW$23,$CA2)</f>
        <v>0</v>
      </c>
    </row>
    <row r="3" spans="1:80">
      <c r="A3" s="15" t="s">
        <v>19</v>
      </c>
      <c r="B3" s="3">
        <v>400000</v>
      </c>
      <c r="C3" s="1"/>
      <c r="D3" s="15" t="s">
        <v>20</v>
      </c>
      <c r="E3" s="17" t="s">
        <v>21</v>
      </c>
      <c r="F3" s="17"/>
      <c r="G3" s="17"/>
      <c r="H3" s="17"/>
      <c r="I3" s="17"/>
      <c r="J3" s="17"/>
      <c r="K3" s="17"/>
      <c r="L3" s="17"/>
      <c r="M3" s="17"/>
      <c r="BP3" s="11" t="str">
        <f t="shared" si="0"/>
        <v>UC-MAFE</v>
      </c>
      <c r="BQ3" s="12">
        <f t="shared" si="1"/>
        <v>36.356499999999997</v>
      </c>
      <c r="BR3" s="12">
        <f t="shared" si="2"/>
        <v>40</v>
      </c>
      <c r="BS3" s="11"/>
      <c r="BT3" s="11"/>
      <c r="BU3" s="11" t="s">
        <v>22</v>
      </c>
      <c r="BV3" s="11">
        <f>COUNTIFS($AA$17:$AA$23,"是",$BD$17:$BD$23,$BU3)</f>
        <v>2</v>
      </c>
      <c r="BW3" s="11"/>
      <c r="BX3" s="11" t="s">
        <v>23</v>
      </c>
      <c r="BY3" s="11">
        <f t="shared" si="3"/>
        <v>0</v>
      </c>
      <c r="BZ3" s="11"/>
      <c r="CA3" s="11" t="s">
        <v>24</v>
      </c>
      <c r="CB3" s="11">
        <f>COUNTIFS($AA$17:$AA$23,"是",$AW$17:$AW$23,$CA3)</f>
        <v>3</v>
      </c>
    </row>
    <row r="4" spans="1:80">
      <c r="BP4" s="11" t="str">
        <f t="shared" si="0"/>
        <v>Otago-MBus Economics</v>
      </c>
      <c r="BQ4" s="12">
        <f t="shared" si="1"/>
        <v>38.6721</v>
      </c>
      <c r="BR4" s="12">
        <f t="shared" si="2"/>
        <v>40</v>
      </c>
      <c r="BS4" s="11"/>
      <c r="BT4" s="11"/>
      <c r="BU4" s="11" t="s">
        <v>25</v>
      </c>
      <c r="BV4" s="11">
        <f>COUNTIFS($AA$17:$AA$23,"是",$BD$17:$BD$23,$BU4)</f>
        <v>1</v>
      </c>
      <c r="BW4" s="11"/>
      <c r="BX4" s="11" t="s">
        <v>26</v>
      </c>
      <c r="BY4" s="11">
        <f t="shared" si="3"/>
        <v>5</v>
      </c>
      <c r="BZ4" s="11"/>
      <c r="CA4" s="11" t="s">
        <v>27</v>
      </c>
      <c r="CB4" s="11">
        <f>COUNTIFS($AA$17:$AA$23,"是",$AW$17:$AW$23,$CA4)</f>
        <v>1</v>
      </c>
    </row>
    <row r="5" spans="1:80">
      <c r="A5" s="18" t="s">
        <v>28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BP5" s="11" t="str">
        <f t="shared" si="0"/>
        <v>Lincoln-MBus Finance</v>
      </c>
      <c r="BQ5" s="12">
        <f t="shared" si="1"/>
        <v>35.3245</v>
      </c>
      <c r="BR5" s="12">
        <f t="shared" si="2"/>
        <v>40</v>
      </c>
      <c r="BS5" s="11"/>
      <c r="BT5" s="11"/>
      <c r="BU5" s="11"/>
      <c r="BV5" s="11"/>
      <c r="BW5" s="11"/>
      <c r="BX5" s="11" t="s">
        <v>29</v>
      </c>
      <c r="BY5" s="11">
        <f t="shared" si="3"/>
        <v>1</v>
      </c>
      <c r="BZ5" s="11"/>
      <c r="CA5" s="11" t="s">
        <v>30</v>
      </c>
      <c r="CB5" s="11">
        <f>COUNTIFS($AA$17:$AA$23,"是",$AW$17:$AW$23,$CA5)</f>
        <v>3</v>
      </c>
    </row>
    <row r="6" spans="1:80">
      <c r="A6" s="19" t="s">
        <v>31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BP6" s="11" t="str">
        <f t="shared" si="0"/>
        <v>Massey-MFin</v>
      </c>
      <c r="BQ6" s="12">
        <f t="shared" si="1"/>
        <v>41.304099999999998</v>
      </c>
      <c r="BR6" s="12">
        <f t="shared" si="2"/>
        <v>40</v>
      </c>
      <c r="BS6" s="11"/>
      <c r="BT6" s="11"/>
      <c r="BU6" s="11"/>
      <c r="BV6" s="11"/>
      <c r="BW6" s="11"/>
      <c r="BX6" s="11" t="s">
        <v>32</v>
      </c>
      <c r="BY6" s="11">
        <f t="shared" si="3"/>
        <v>0</v>
      </c>
      <c r="BZ6" s="11"/>
      <c r="CA6" s="11"/>
      <c r="CB6" s="11"/>
    </row>
    <row r="7" spans="1:80">
      <c r="A7" s="22" t="s">
        <v>33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  <c r="BP7" s="11" t="str">
        <f t="shared" si="0"/>
        <v>AUT-MAF</v>
      </c>
      <c r="BQ7" s="12">
        <f t="shared" si="1"/>
        <v>41.250900000000001</v>
      </c>
      <c r="BR7" s="12">
        <f t="shared" si="2"/>
        <v>40</v>
      </c>
      <c r="BS7" s="11"/>
      <c r="BT7" s="11"/>
      <c r="BU7" s="11"/>
      <c r="BV7" s="11"/>
      <c r="BW7" s="11"/>
      <c r="BX7" s="11" t="s">
        <v>34</v>
      </c>
      <c r="BY7" s="11">
        <f t="shared" si="3"/>
        <v>0</v>
      </c>
      <c r="BZ7" s="11"/>
      <c r="CA7" s="11"/>
      <c r="CB7" s="11"/>
    </row>
    <row r="8" spans="1:80">
      <c r="A8" s="25" t="s">
        <v>35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BP8" s="11" t="str">
        <f t="shared" si="0"/>
        <v>Auckland-MAppFin</v>
      </c>
      <c r="BQ8" s="12">
        <f t="shared" si="1"/>
        <v>46.342100000000002</v>
      </c>
      <c r="BR8" s="12">
        <f t="shared" si="2"/>
        <v>40</v>
      </c>
      <c r="BS8" s="11"/>
      <c r="BT8" s="11"/>
      <c r="BU8" s="11"/>
      <c r="BV8" s="11"/>
      <c r="BW8" s="11"/>
      <c r="BX8" s="11" t="s">
        <v>36</v>
      </c>
      <c r="BY8" s="11">
        <f t="shared" si="3"/>
        <v>0</v>
      </c>
      <c r="BZ8" s="11"/>
      <c r="CA8" s="11"/>
      <c r="CB8" s="11"/>
    </row>
    <row r="9" spans="1:80">
      <c r="BP9" s="11"/>
      <c r="BQ9" s="12"/>
      <c r="BR9" s="12"/>
      <c r="BS9" s="11"/>
      <c r="BT9" s="11"/>
      <c r="BU9" s="11"/>
      <c r="BV9" s="11"/>
      <c r="BW9" s="11"/>
      <c r="BX9" s="11" t="s">
        <v>37</v>
      </c>
      <c r="BY9" s="11">
        <f t="shared" si="3"/>
        <v>0</v>
      </c>
      <c r="BZ9" s="11"/>
      <c r="CA9" s="11"/>
      <c r="CB9" s="11"/>
    </row>
    <row r="10" spans="1:80">
      <c r="A10" s="41" t="s">
        <v>38</v>
      </c>
      <c r="B10" s="41"/>
      <c r="C10" s="42" t="s">
        <v>39</v>
      </c>
      <c r="D10" s="42"/>
      <c r="E10" s="41" t="s">
        <v>16</v>
      </c>
      <c r="F10" s="41"/>
      <c r="G10" s="42" t="s">
        <v>22</v>
      </c>
      <c r="H10" s="42"/>
      <c r="I10" s="41" t="s">
        <v>25</v>
      </c>
      <c r="J10" s="41"/>
      <c r="K10" s="42" t="s">
        <v>40</v>
      </c>
      <c r="L10" s="42"/>
      <c r="BP10" s="11"/>
      <c r="BQ10" s="12"/>
      <c r="BR10" s="12"/>
      <c r="BS10" s="11"/>
      <c r="BT10" s="11"/>
      <c r="BU10" s="11"/>
      <c r="BV10" s="11"/>
      <c r="BW10" s="11"/>
      <c r="BX10" s="11" t="s">
        <v>41</v>
      </c>
      <c r="BY10" s="11">
        <f t="shared" si="3"/>
        <v>0</v>
      </c>
      <c r="BZ10" s="11"/>
      <c r="CA10" s="11"/>
      <c r="CB10" s="11"/>
    </row>
    <row r="11" spans="1:80" ht="18">
      <c r="A11" s="29">
        <f>SUM($BN$17:$BN$23)</f>
        <v>7</v>
      </c>
      <c r="B11" s="29"/>
      <c r="C11" s="31">
        <f>COUNTIF($AA$17:$AA$23,"是")</f>
        <v>7</v>
      </c>
      <c r="D11" s="31"/>
      <c r="E11" s="29">
        <f>COUNTIFS($AA$17:$AA$23,"是",$BD$17:$BD$23,"预算内")</f>
        <v>4</v>
      </c>
      <c r="F11" s="29"/>
      <c r="G11" s="31">
        <f>COUNTIFS($AA$17:$AA$23,"是",$BD$17:$BD$23,"临界预算")</f>
        <v>2</v>
      </c>
      <c r="H11" s="31"/>
      <c r="I11" s="29">
        <f>COUNTIFS($AA$17:$AA$23,"是",$BD$17:$BD$23,"超预算")</f>
        <v>1</v>
      </c>
      <c r="J11" s="29"/>
      <c r="K11" s="31">
        <f>COUNTIFS($AA$17:$AA$23,"是",$AX$17:$AX$23,"是")</f>
        <v>3</v>
      </c>
      <c r="L11" s="31"/>
      <c r="BP11" s="11"/>
      <c r="BQ11" s="12"/>
      <c r="BR11" s="12"/>
      <c r="BS11" s="11"/>
      <c r="BT11" s="11"/>
      <c r="BU11" s="11"/>
      <c r="BV11" s="11"/>
      <c r="BW11" s="11"/>
      <c r="BX11" s="11" t="s">
        <v>42</v>
      </c>
      <c r="BY11" s="11">
        <f t="shared" si="3"/>
        <v>0</v>
      </c>
      <c r="BZ11" s="11"/>
      <c r="CA11" s="11"/>
      <c r="CB11" s="11"/>
    </row>
    <row r="12" spans="1:80">
      <c r="BP12" s="11"/>
      <c r="BQ12" s="11"/>
      <c r="BR12" s="11"/>
      <c r="BS12" s="11"/>
      <c r="BT12" s="11"/>
      <c r="BU12" s="11"/>
      <c r="BV12" s="11"/>
      <c r="BW12" s="11"/>
      <c r="BX12" s="11" t="s">
        <v>43</v>
      </c>
      <c r="BY12" s="11">
        <f t="shared" si="3"/>
        <v>0</v>
      </c>
      <c r="BZ12" s="11"/>
      <c r="CA12" s="11"/>
      <c r="CB12" s="11"/>
    </row>
    <row r="13" spans="1:80">
      <c r="A13" s="41" t="s">
        <v>44</v>
      </c>
      <c r="B13" s="41"/>
      <c r="C13" s="42" t="s">
        <v>45</v>
      </c>
      <c r="D13" s="42"/>
      <c r="E13" s="41" t="s">
        <v>46</v>
      </c>
      <c r="F13" s="41"/>
      <c r="G13" s="42" t="s">
        <v>47</v>
      </c>
      <c r="H13" s="42"/>
      <c r="I13" s="41" t="s">
        <v>48</v>
      </c>
      <c r="J13" s="41"/>
      <c r="K13" s="42" t="s">
        <v>49</v>
      </c>
      <c r="L13" s="42"/>
    </row>
    <row r="14" spans="1:80" ht="18">
      <c r="A14" s="29">
        <f>COUNTIFS($AA$17:$AA$23,"是",$AY$17:$AY$23,"是")</f>
        <v>0</v>
      </c>
      <c r="B14" s="29"/>
      <c r="C14" s="31">
        <f>COUNTIFS($AA$17:$AA$23,"是",$I$17:$I$23,"1年")</f>
        <v>4</v>
      </c>
      <c r="D14" s="31"/>
      <c r="E14" s="29">
        <f>COUNTIFS($AA$17:$AA$23,"是",$I$17:$I$23,"1.5年")</f>
        <v>3</v>
      </c>
      <c r="F14" s="29"/>
      <c r="G14" s="32">
        <f>IFERROR(SUMIFS($AR$17:$AR$23,$AA$17:$AA$23,"是")/COUNTIF($AA$17:$AA$23,"是")/10000,0)</f>
        <v>39.578042857142862</v>
      </c>
      <c r="H14" s="31"/>
      <c r="I14" s="33">
        <f>IF(COUNTIF($AA$17:$AA$23,"是")=0,0,MIN($AR$17:$AR$23)/10000)</f>
        <v>35.3245</v>
      </c>
      <c r="J14" s="29"/>
      <c r="K14" s="32">
        <f>IF(COUNTIF($AA$17:$AA$23,"是")=0,0,MAX($AR$17:$AR$23)/10000)</f>
        <v>46.342100000000002</v>
      </c>
      <c r="L14" s="31"/>
    </row>
    <row r="16" spans="1:80" ht="42" customHeight="1">
      <c r="A16" s="5" t="s">
        <v>50</v>
      </c>
      <c r="B16" s="5" t="s">
        <v>51</v>
      </c>
      <c r="C16" s="5" t="s">
        <v>52</v>
      </c>
      <c r="D16" s="5" t="s">
        <v>53</v>
      </c>
      <c r="E16" s="5" t="s">
        <v>54</v>
      </c>
      <c r="F16" s="5" t="s">
        <v>55</v>
      </c>
      <c r="G16" s="5" t="s">
        <v>6</v>
      </c>
      <c r="H16" s="5" t="s">
        <v>56</v>
      </c>
      <c r="I16" s="5" t="s">
        <v>57</v>
      </c>
      <c r="J16" s="5" t="s">
        <v>58</v>
      </c>
      <c r="K16" s="5" t="s">
        <v>59</v>
      </c>
      <c r="L16" s="5" t="s">
        <v>60</v>
      </c>
      <c r="M16" s="5" t="s">
        <v>61</v>
      </c>
      <c r="N16" s="5" t="s">
        <v>62</v>
      </c>
      <c r="O16" s="5" t="s">
        <v>63</v>
      </c>
      <c r="P16" s="5" t="s">
        <v>64</v>
      </c>
      <c r="Q16" s="5" t="s">
        <v>65</v>
      </c>
      <c r="R16" s="5" t="s">
        <v>66</v>
      </c>
      <c r="S16" s="5" t="s">
        <v>67</v>
      </c>
      <c r="T16" s="5" t="s">
        <v>68</v>
      </c>
      <c r="U16" s="5" t="s">
        <v>69</v>
      </c>
      <c r="V16" s="5" t="s">
        <v>70</v>
      </c>
      <c r="W16" s="5" t="s">
        <v>71</v>
      </c>
      <c r="X16" s="5" t="s">
        <v>72</v>
      </c>
      <c r="Y16" s="5" t="s">
        <v>73</v>
      </c>
      <c r="Z16" s="5" t="s">
        <v>74</v>
      </c>
      <c r="AA16" s="5" t="s">
        <v>75</v>
      </c>
      <c r="AB16" s="5" t="s">
        <v>76</v>
      </c>
      <c r="AC16" s="5" t="s">
        <v>77</v>
      </c>
      <c r="AD16" s="5" t="s">
        <v>78</v>
      </c>
      <c r="AE16" s="5" t="s">
        <v>79</v>
      </c>
      <c r="AF16" s="5" t="s">
        <v>80</v>
      </c>
      <c r="AG16" s="5" t="s">
        <v>81</v>
      </c>
      <c r="AH16" s="5" t="s">
        <v>82</v>
      </c>
      <c r="AI16" s="5" t="s">
        <v>83</v>
      </c>
      <c r="AJ16" s="5" t="s">
        <v>84</v>
      </c>
      <c r="AK16" s="5" t="s">
        <v>85</v>
      </c>
      <c r="AL16" s="5" t="s">
        <v>86</v>
      </c>
      <c r="AM16" s="5" t="s">
        <v>87</v>
      </c>
      <c r="AN16" s="5" t="s">
        <v>88</v>
      </c>
      <c r="AO16" s="5" t="s">
        <v>89</v>
      </c>
      <c r="AP16" s="5" t="s">
        <v>90</v>
      </c>
      <c r="AQ16" s="5" t="s">
        <v>91</v>
      </c>
      <c r="AR16" s="5" t="s">
        <v>92</v>
      </c>
      <c r="AS16" s="5" t="s">
        <v>93</v>
      </c>
      <c r="AT16" s="5" t="s">
        <v>94</v>
      </c>
      <c r="AU16" s="5" t="s">
        <v>95</v>
      </c>
      <c r="AV16" s="5" t="s">
        <v>96</v>
      </c>
      <c r="AW16" s="5" t="s">
        <v>7</v>
      </c>
      <c r="AX16" s="5" t="s">
        <v>97</v>
      </c>
      <c r="AY16" s="5" t="s">
        <v>98</v>
      </c>
      <c r="AZ16" s="5" t="s">
        <v>99</v>
      </c>
      <c r="BA16" s="5" t="s">
        <v>100</v>
      </c>
      <c r="BB16" s="5" t="s">
        <v>101</v>
      </c>
      <c r="BC16" s="5" t="s">
        <v>102</v>
      </c>
      <c r="BD16" s="5" t="s">
        <v>4</v>
      </c>
      <c r="BE16" s="5" t="s">
        <v>103</v>
      </c>
      <c r="BF16" s="5" t="s">
        <v>104</v>
      </c>
      <c r="BG16" s="5" t="s">
        <v>105</v>
      </c>
      <c r="BH16" s="5" t="s">
        <v>106</v>
      </c>
      <c r="BI16" s="5" t="s">
        <v>107</v>
      </c>
      <c r="BJ16" s="5" t="s">
        <v>108</v>
      </c>
      <c r="BK16" s="5" t="s">
        <v>109</v>
      </c>
      <c r="BL16" s="5" t="s">
        <v>110</v>
      </c>
      <c r="BM16" s="5" t="s">
        <v>111</v>
      </c>
      <c r="BN16" s="5" t="s">
        <v>112</v>
      </c>
    </row>
    <row r="17" spans="1:66" ht="72" customHeight="1">
      <c r="A17" s="6" t="s">
        <v>273</v>
      </c>
      <c r="B17" s="6" t="s">
        <v>274</v>
      </c>
      <c r="C17" s="6" t="s">
        <v>275</v>
      </c>
      <c r="D17" s="6" t="s">
        <v>276</v>
      </c>
      <c r="E17" s="6" t="s">
        <v>277</v>
      </c>
      <c r="F17" s="6" t="s">
        <v>278</v>
      </c>
      <c r="G17" s="6" t="s">
        <v>26</v>
      </c>
      <c r="H17" s="6" t="s">
        <v>118</v>
      </c>
      <c r="I17" s="6" t="s">
        <v>119</v>
      </c>
      <c r="J17" s="6">
        <v>12</v>
      </c>
      <c r="K17" s="6" t="s">
        <v>120</v>
      </c>
      <c r="L17" s="6" t="s">
        <v>214</v>
      </c>
      <c r="M17" s="6" t="s">
        <v>215</v>
      </c>
      <c r="N17" s="6" t="s">
        <v>279</v>
      </c>
      <c r="O17" s="6" t="s">
        <v>236</v>
      </c>
      <c r="P17" s="6" t="s">
        <v>280</v>
      </c>
      <c r="Q17" s="6" t="s">
        <v>281</v>
      </c>
      <c r="R17" s="6" t="s">
        <v>282</v>
      </c>
      <c r="S17" s="6" t="s">
        <v>220</v>
      </c>
      <c r="T17" s="6" t="s">
        <v>129</v>
      </c>
      <c r="U17" s="6" t="s">
        <v>130</v>
      </c>
      <c r="V17" s="6" t="s">
        <v>131</v>
      </c>
      <c r="W17" s="6" t="s">
        <v>132</v>
      </c>
      <c r="X17" s="6" t="s">
        <v>133</v>
      </c>
      <c r="Y17" s="6">
        <v>94</v>
      </c>
      <c r="Z17" s="6" t="s">
        <v>134</v>
      </c>
      <c r="AA17" s="6" t="s">
        <v>131</v>
      </c>
      <c r="AB17" s="7">
        <f t="shared" ref="AB17:AB23" si="4">ROUND($AC17*$H$2,0)</f>
        <v>269816</v>
      </c>
      <c r="AC17" s="8">
        <v>62748</v>
      </c>
      <c r="AD17" s="8">
        <f t="shared" ref="AD17:AD23" si="5">ROUND($AE17*$H$2,0)</f>
        <v>43000</v>
      </c>
      <c r="AE17" s="8">
        <v>10000</v>
      </c>
      <c r="AF17" s="8">
        <f t="shared" ref="AF17:AF23" si="6">ROUND($AG17*$H$2,0)</f>
        <v>18060</v>
      </c>
      <c r="AG17" s="8">
        <v>4200</v>
      </c>
      <c r="AH17" s="8">
        <f t="shared" ref="AH17:AH23" si="7">ROUND($AI17*$H$2,0)</f>
        <v>4300</v>
      </c>
      <c r="AI17" s="8">
        <v>1000</v>
      </c>
      <c r="AJ17" s="8">
        <f t="shared" ref="AJ17:AJ23" si="8">ROUND($AK17*$H$2,0)</f>
        <v>20640</v>
      </c>
      <c r="AK17" s="8">
        <v>4800</v>
      </c>
      <c r="AL17" s="8">
        <f t="shared" ref="AL17:AL23" si="9">ROUND($AM17*$H$2,0)</f>
        <v>7095</v>
      </c>
      <c r="AM17" s="8">
        <v>1650</v>
      </c>
      <c r="AN17" s="8">
        <f t="shared" ref="AN17:AN23" si="10">ROUND($AO17*$H$2,0)</f>
        <v>4300</v>
      </c>
      <c r="AO17" s="8">
        <v>1000</v>
      </c>
      <c r="AP17" s="8">
        <f t="shared" ref="AP17:AP23" si="11">ROUND($AQ17*$H$2,0)</f>
        <v>10750</v>
      </c>
      <c r="AQ17" s="8">
        <v>2500</v>
      </c>
      <c r="AR17" s="7">
        <f t="shared" ref="AR17:AR23" si="12">SUM($AB17,$AD17,$AF17,$AH17,$AJ17,$AL17,$AN17,$AP17)</f>
        <v>377961</v>
      </c>
      <c r="AS17" s="7">
        <f t="shared" ref="AS17:AS23" si="13">SUM($AC17,$AE17,$AG17,$AI17,$AK17,$AM17,$AO17,$AQ17)</f>
        <v>87898</v>
      </c>
      <c r="AT17" s="9">
        <f t="shared" ref="AT17:AT23" si="14">$AR17/10000</f>
        <v>37.796100000000003</v>
      </c>
      <c r="AU17" s="7">
        <f t="shared" ref="AU17:AU23" si="15">ROUND($AV17*$H$2,0)</f>
        <v>43000</v>
      </c>
      <c r="AV17" s="8">
        <v>10000</v>
      </c>
      <c r="AW17" s="6" t="s">
        <v>24</v>
      </c>
      <c r="AX17" s="6" t="s">
        <v>131</v>
      </c>
      <c r="AY17" s="6" t="s">
        <v>129</v>
      </c>
      <c r="AZ17" s="6" t="s">
        <v>134</v>
      </c>
      <c r="BA17" s="7">
        <f t="shared" ref="BA17:BA23" si="16">MAX(0,$AR17-$AU17)</f>
        <v>334961</v>
      </c>
      <c r="BB17" s="8">
        <f t="shared" ref="BB17:BB23" si="17">MAX(0,$AS17-$AV17)</f>
        <v>77898</v>
      </c>
      <c r="BC17" s="7">
        <f t="shared" ref="BC17:BC23" si="18">$B$3-$BA17</f>
        <v>65039</v>
      </c>
      <c r="BD17" s="6" t="str">
        <f t="shared" ref="BD17:BD23" si="19">IF($AA17&lt;&gt;"是","排除",IF($AR17&lt;=$B$3,"预算内",IF($AR17&lt;=$B$3*1.1,"临界预算","超预算")))</f>
        <v>预算内</v>
      </c>
      <c r="BE17" s="6" t="s">
        <v>9</v>
      </c>
      <c r="BF17" s="43" t="s">
        <v>104</v>
      </c>
      <c r="BG17" s="43" t="s">
        <v>105</v>
      </c>
      <c r="BH17" s="43" t="s">
        <v>350</v>
      </c>
      <c r="BI17" s="43" t="s">
        <v>107</v>
      </c>
      <c r="BJ17" s="43" t="s">
        <v>351</v>
      </c>
      <c r="BK17" s="6" t="s">
        <v>283</v>
      </c>
      <c r="BL17" s="6" t="s">
        <v>138</v>
      </c>
      <c r="BM17" s="6" t="s">
        <v>284</v>
      </c>
      <c r="BN17" s="6">
        <f>IF($AA17="是",IF(COUNTIFS($B$17:$B17,$B17,$AA$17:$AA17,"是")=1,1,0),0)</f>
        <v>1</v>
      </c>
    </row>
    <row r="18" spans="1:66" ht="72" customHeight="1">
      <c r="A18" s="6" t="s">
        <v>273</v>
      </c>
      <c r="B18" s="6" t="s">
        <v>285</v>
      </c>
      <c r="C18" s="6" t="s">
        <v>286</v>
      </c>
      <c r="D18" s="6" t="s">
        <v>287</v>
      </c>
      <c r="E18" s="6" t="s">
        <v>288</v>
      </c>
      <c r="F18" s="6" t="s">
        <v>289</v>
      </c>
      <c r="G18" s="6" t="s">
        <v>29</v>
      </c>
      <c r="H18" s="6" t="s">
        <v>118</v>
      </c>
      <c r="I18" s="6" t="s">
        <v>119</v>
      </c>
      <c r="J18" s="6">
        <v>12</v>
      </c>
      <c r="K18" s="6" t="s">
        <v>120</v>
      </c>
      <c r="L18" s="6" t="s">
        <v>214</v>
      </c>
      <c r="M18" s="6" t="s">
        <v>290</v>
      </c>
      <c r="N18" s="6" t="s">
        <v>291</v>
      </c>
      <c r="O18" s="6" t="s">
        <v>236</v>
      </c>
      <c r="P18" s="6" t="s">
        <v>292</v>
      </c>
      <c r="Q18" s="6" t="s">
        <v>293</v>
      </c>
      <c r="R18" s="6" t="s">
        <v>294</v>
      </c>
      <c r="S18" s="6" t="s">
        <v>220</v>
      </c>
      <c r="T18" s="6" t="s">
        <v>129</v>
      </c>
      <c r="U18" s="6" t="s">
        <v>130</v>
      </c>
      <c r="V18" s="6" t="s">
        <v>131</v>
      </c>
      <c r="W18" s="6" t="s">
        <v>132</v>
      </c>
      <c r="X18" s="6" t="s">
        <v>133</v>
      </c>
      <c r="Y18" s="6">
        <v>93</v>
      </c>
      <c r="Z18" s="6" t="s">
        <v>134</v>
      </c>
      <c r="AA18" s="6" t="s">
        <v>131</v>
      </c>
      <c r="AB18" s="7">
        <f t="shared" si="4"/>
        <v>255420</v>
      </c>
      <c r="AC18" s="8">
        <v>59400</v>
      </c>
      <c r="AD18" s="8">
        <f t="shared" si="5"/>
        <v>43000</v>
      </c>
      <c r="AE18" s="8">
        <v>10000</v>
      </c>
      <c r="AF18" s="8">
        <f t="shared" si="6"/>
        <v>18060</v>
      </c>
      <c r="AG18" s="8">
        <v>4200</v>
      </c>
      <c r="AH18" s="8">
        <f t="shared" si="7"/>
        <v>4300</v>
      </c>
      <c r="AI18" s="8">
        <v>1000</v>
      </c>
      <c r="AJ18" s="8">
        <f t="shared" si="8"/>
        <v>20640</v>
      </c>
      <c r="AK18" s="8">
        <v>4800</v>
      </c>
      <c r="AL18" s="8">
        <f t="shared" si="9"/>
        <v>7095</v>
      </c>
      <c r="AM18" s="8">
        <v>1650</v>
      </c>
      <c r="AN18" s="8">
        <f t="shared" si="10"/>
        <v>4300</v>
      </c>
      <c r="AO18" s="8">
        <v>1000</v>
      </c>
      <c r="AP18" s="8">
        <f t="shared" si="11"/>
        <v>10750</v>
      </c>
      <c r="AQ18" s="8">
        <v>2500</v>
      </c>
      <c r="AR18" s="7">
        <f t="shared" si="12"/>
        <v>363565</v>
      </c>
      <c r="AS18" s="7">
        <f t="shared" si="13"/>
        <v>84550</v>
      </c>
      <c r="AT18" s="9">
        <f t="shared" si="14"/>
        <v>36.356499999999997</v>
      </c>
      <c r="AU18" s="7">
        <f t="shared" si="15"/>
        <v>43000</v>
      </c>
      <c r="AV18" s="8">
        <v>10000</v>
      </c>
      <c r="AW18" s="6" t="s">
        <v>24</v>
      </c>
      <c r="AX18" s="6" t="s">
        <v>131</v>
      </c>
      <c r="AY18" s="6" t="s">
        <v>129</v>
      </c>
      <c r="AZ18" s="6" t="s">
        <v>134</v>
      </c>
      <c r="BA18" s="7">
        <f t="shared" si="16"/>
        <v>320565</v>
      </c>
      <c r="BB18" s="8">
        <f t="shared" si="17"/>
        <v>74550</v>
      </c>
      <c r="BC18" s="7">
        <f t="shared" si="18"/>
        <v>79435</v>
      </c>
      <c r="BD18" s="6" t="str">
        <f t="shared" si="19"/>
        <v>预算内</v>
      </c>
      <c r="BE18" s="6" t="s">
        <v>9</v>
      </c>
      <c r="BF18" s="43" t="s">
        <v>104</v>
      </c>
      <c r="BG18" s="43" t="s">
        <v>105</v>
      </c>
      <c r="BH18" s="43" t="s">
        <v>350</v>
      </c>
      <c r="BI18" s="43" t="s">
        <v>107</v>
      </c>
      <c r="BJ18" s="43" t="s">
        <v>351</v>
      </c>
      <c r="BK18" s="6" t="s">
        <v>295</v>
      </c>
      <c r="BL18" s="6" t="s">
        <v>138</v>
      </c>
      <c r="BM18" s="6" t="s">
        <v>296</v>
      </c>
      <c r="BN18" s="6">
        <f>IF($AA18="是",IF(COUNTIFS($B$17:$B18,$B18,$AA$17:$AA18,"是")=1,1,0),0)</f>
        <v>1</v>
      </c>
    </row>
    <row r="19" spans="1:66" ht="72" customHeight="1">
      <c r="A19" s="6" t="s">
        <v>273</v>
      </c>
      <c r="B19" s="6" t="s">
        <v>297</v>
      </c>
      <c r="C19" s="6" t="s">
        <v>298</v>
      </c>
      <c r="D19" s="6" t="s">
        <v>299</v>
      </c>
      <c r="E19" s="6" t="s">
        <v>300</v>
      </c>
      <c r="F19" s="6" t="s">
        <v>301</v>
      </c>
      <c r="G19" s="6" t="s">
        <v>17</v>
      </c>
      <c r="H19" s="6" t="s">
        <v>118</v>
      </c>
      <c r="I19" s="6" t="s">
        <v>119</v>
      </c>
      <c r="J19" s="6">
        <v>12</v>
      </c>
      <c r="K19" s="6" t="s">
        <v>120</v>
      </c>
      <c r="L19" s="6" t="s">
        <v>214</v>
      </c>
      <c r="M19" s="6" t="s">
        <v>302</v>
      </c>
      <c r="N19" s="6" t="s">
        <v>303</v>
      </c>
      <c r="O19" s="6" t="s">
        <v>236</v>
      </c>
      <c r="P19" s="6" t="s">
        <v>304</v>
      </c>
      <c r="Q19" s="6" t="s">
        <v>305</v>
      </c>
      <c r="R19" s="6" t="s">
        <v>306</v>
      </c>
      <c r="S19" s="6" t="s">
        <v>220</v>
      </c>
      <c r="T19" s="6" t="s">
        <v>129</v>
      </c>
      <c r="U19" s="6" t="s">
        <v>130</v>
      </c>
      <c r="V19" s="6" t="s">
        <v>131</v>
      </c>
      <c r="W19" s="6" t="s">
        <v>132</v>
      </c>
      <c r="X19" s="6" t="s">
        <v>160</v>
      </c>
      <c r="Y19" s="6">
        <v>92</v>
      </c>
      <c r="Z19" s="6" t="s">
        <v>134</v>
      </c>
      <c r="AA19" s="6" t="s">
        <v>131</v>
      </c>
      <c r="AB19" s="7">
        <f t="shared" si="4"/>
        <v>278576</v>
      </c>
      <c r="AC19" s="8">
        <v>64785</v>
      </c>
      <c r="AD19" s="8">
        <f t="shared" si="5"/>
        <v>43000</v>
      </c>
      <c r="AE19" s="8">
        <v>10000</v>
      </c>
      <c r="AF19" s="8">
        <f t="shared" si="6"/>
        <v>18060</v>
      </c>
      <c r="AG19" s="8">
        <v>4200</v>
      </c>
      <c r="AH19" s="8">
        <f t="shared" si="7"/>
        <v>4300</v>
      </c>
      <c r="AI19" s="8">
        <v>1000</v>
      </c>
      <c r="AJ19" s="8">
        <f t="shared" si="8"/>
        <v>20640</v>
      </c>
      <c r="AK19" s="8">
        <v>4800</v>
      </c>
      <c r="AL19" s="8">
        <f t="shared" si="9"/>
        <v>7095</v>
      </c>
      <c r="AM19" s="8">
        <v>1650</v>
      </c>
      <c r="AN19" s="8">
        <f t="shared" si="10"/>
        <v>4300</v>
      </c>
      <c r="AO19" s="8">
        <v>1000</v>
      </c>
      <c r="AP19" s="8">
        <f t="shared" si="11"/>
        <v>10750</v>
      </c>
      <c r="AQ19" s="8">
        <v>2500</v>
      </c>
      <c r="AR19" s="7">
        <f t="shared" si="12"/>
        <v>386721</v>
      </c>
      <c r="AS19" s="7">
        <f t="shared" si="13"/>
        <v>89935</v>
      </c>
      <c r="AT19" s="9">
        <f t="shared" si="14"/>
        <v>38.6721</v>
      </c>
      <c r="AU19" s="7">
        <f t="shared" si="15"/>
        <v>0</v>
      </c>
      <c r="AV19" s="8">
        <v>0</v>
      </c>
      <c r="AW19" s="6" t="s">
        <v>30</v>
      </c>
      <c r="AX19" s="6" t="s">
        <v>135</v>
      </c>
      <c r="AY19" s="6" t="s">
        <v>129</v>
      </c>
      <c r="AZ19" s="6" t="s">
        <v>135</v>
      </c>
      <c r="BA19" s="7">
        <f t="shared" si="16"/>
        <v>386721</v>
      </c>
      <c r="BB19" s="8">
        <f t="shared" si="17"/>
        <v>89935</v>
      </c>
      <c r="BC19" s="7">
        <f t="shared" si="18"/>
        <v>13279</v>
      </c>
      <c r="BD19" s="6" t="str">
        <f t="shared" si="19"/>
        <v>预算内</v>
      </c>
      <c r="BE19" s="6" t="s">
        <v>9</v>
      </c>
      <c r="BF19" s="43" t="s">
        <v>104</v>
      </c>
      <c r="BG19" s="43" t="s">
        <v>105</v>
      </c>
      <c r="BH19" s="43" t="s">
        <v>350</v>
      </c>
      <c r="BI19" s="43" t="s">
        <v>107</v>
      </c>
      <c r="BJ19" s="43" t="s">
        <v>351</v>
      </c>
      <c r="BK19" s="6" t="s">
        <v>307</v>
      </c>
      <c r="BL19" s="6" t="s">
        <v>138</v>
      </c>
      <c r="BM19" s="6" t="s">
        <v>308</v>
      </c>
      <c r="BN19" s="6">
        <f>IF($AA19="是",IF(COUNTIFS($B$17:$B19,$B19,$AA$17:$AA19,"是")=1,1,0),0)</f>
        <v>1</v>
      </c>
    </row>
    <row r="20" spans="1:66" ht="72" customHeight="1">
      <c r="A20" s="6" t="s">
        <v>273</v>
      </c>
      <c r="B20" s="6" t="s">
        <v>309</v>
      </c>
      <c r="C20" s="6" t="s">
        <v>310</v>
      </c>
      <c r="D20" s="6" t="s">
        <v>311</v>
      </c>
      <c r="E20" s="6" t="s">
        <v>312</v>
      </c>
      <c r="F20" s="6" t="s">
        <v>313</v>
      </c>
      <c r="G20" s="6" t="s">
        <v>26</v>
      </c>
      <c r="H20" s="6" t="s">
        <v>118</v>
      </c>
      <c r="I20" s="6" t="s">
        <v>119</v>
      </c>
      <c r="J20" s="6">
        <v>12</v>
      </c>
      <c r="K20" s="6" t="s">
        <v>120</v>
      </c>
      <c r="L20" s="6" t="s">
        <v>214</v>
      </c>
      <c r="M20" s="6" t="s">
        <v>215</v>
      </c>
      <c r="N20" s="6" t="s">
        <v>314</v>
      </c>
      <c r="O20" s="6" t="s">
        <v>236</v>
      </c>
      <c r="P20" s="6" t="s">
        <v>315</v>
      </c>
      <c r="Q20" s="6" t="s">
        <v>305</v>
      </c>
      <c r="R20" s="6" t="s">
        <v>316</v>
      </c>
      <c r="S20" s="6" t="s">
        <v>220</v>
      </c>
      <c r="T20" s="6" t="s">
        <v>129</v>
      </c>
      <c r="U20" s="6" t="s">
        <v>130</v>
      </c>
      <c r="V20" s="6" t="s">
        <v>131</v>
      </c>
      <c r="W20" s="6" t="s">
        <v>132</v>
      </c>
      <c r="X20" s="6" t="s">
        <v>133</v>
      </c>
      <c r="Y20" s="6">
        <v>89</v>
      </c>
      <c r="Z20" s="6" t="s">
        <v>134</v>
      </c>
      <c r="AA20" s="6" t="s">
        <v>131</v>
      </c>
      <c r="AB20" s="7">
        <f t="shared" si="4"/>
        <v>245100</v>
      </c>
      <c r="AC20" s="8">
        <v>57000</v>
      </c>
      <c r="AD20" s="8">
        <f t="shared" si="5"/>
        <v>43000</v>
      </c>
      <c r="AE20" s="8">
        <v>10000</v>
      </c>
      <c r="AF20" s="8">
        <f t="shared" si="6"/>
        <v>18060</v>
      </c>
      <c r="AG20" s="8">
        <v>4200</v>
      </c>
      <c r="AH20" s="8">
        <f t="shared" si="7"/>
        <v>4300</v>
      </c>
      <c r="AI20" s="8">
        <v>1000</v>
      </c>
      <c r="AJ20" s="8">
        <f t="shared" si="8"/>
        <v>20640</v>
      </c>
      <c r="AK20" s="8">
        <v>4800</v>
      </c>
      <c r="AL20" s="8">
        <f t="shared" si="9"/>
        <v>7095</v>
      </c>
      <c r="AM20" s="8">
        <v>1650</v>
      </c>
      <c r="AN20" s="8">
        <f t="shared" si="10"/>
        <v>4300</v>
      </c>
      <c r="AO20" s="8">
        <v>1000</v>
      </c>
      <c r="AP20" s="8">
        <f t="shared" si="11"/>
        <v>10750</v>
      </c>
      <c r="AQ20" s="8">
        <v>2500</v>
      </c>
      <c r="AR20" s="7">
        <f t="shared" si="12"/>
        <v>353245</v>
      </c>
      <c r="AS20" s="7">
        <f t="shared" si="13"/>
        <v>82150</v>
      </c>
      <c r="AT20" s="9">
        <f t="shared" si="14"/>
        <v>35.3245</v>
      </c>
      <c r="AU20" s="7">
        <f t="shared" si="15"/>
        <v>0</v>
      </c>
      <c r="AV20" s="8">
        <v>0</v>
      </c>
      <c r="AW20" s="6" t="s">
        <v>27</v>
      </c>
      <c r="AX20" s="6" t="s">
        <v>129</v>
      </c>
      <c r="AY20" s="6" t="s">
        <v>129</v>
      </c>
      <c r="AZ20" s="6" t="s">
        <v>135</v>
      </c>
      <c r="BA20" s="7">
        <f t="shared" si="16"/>
        <v>353245</v>
      </c>
      <c r="BB20" s="8">
        <f t="shared" si="17"/>
        <v>82150</v>
      </c>
      <c r="BC20" s="7">
        <f t="shared" si="18"/>
        <v>46755</v>
      </c>
      <c r="BD20" s="6" t="str">
        <f t="shared" si="19"/>
        <v>预算内</v>
      </c>
      <c r="BE20" s="6" t="s">
        <v>9</v>
      </c>
      <c r="BF20" s="43" t="s">
        <v>104</v>
      </c>
      <c r="BG20" s="43" t="s">
        <v>105</v>
      </c>
      <c r="BH20" s="43" t="s">
        <v>350</v>
      </c>
      <c r="BI20" s="10" t="s">
        <v>136</v>
      </c>
      <c r="BJ20" s="43" t="s">
        <v>351</v>
      </c>
      <c r="BK20" s="6" t="s">
        <v>317</v>
      </c>
      <c r="BL20" s="6" t="s">
        <v>138</v>
      </c>
      <c r="BM20" s="6" t="s">
        <v>318</v>
      </c>
      <c r="BN20" s="6">
        <f>IF($AA20="是",IF(COUNTIFS($B$17:$B20,$B20,$AA$17:$AA20,"是")=1,1,0),0)</f>
        <v>1</v>
      </c>
    </row>
    <row r="21" spans="1:66" ht="72" customHeight="1">
      <c r="A21" s="6" t="s">
        <v>273</v>
      </c>
      <c r="B21" s="6" t="s">
        <v>319</v>
      </c>
      <c r="C21" s="6" t="s">
        <v>320</v>
      </c>
      <c r="D21" s="6" t="s">
        <v>321</v>
      </c>
      <c r="E21" s="6" t="s">
        <v>322</v>
      </c>
      <c r="F21" s="6" t="s">
        <v>323</v>
      </c>
      <c r="G21" s="6" t="s">
        <v>26</v>
      </c>
      <c r="H21" s="6" t="s">
        <v>118</v>
      </c>
      <c r="I21" s="6" t="s">
        <v>324</v>
      </c>
      <c r="J21" s="6">
        <v>18</v>
      </c>
      <c r="K21" s="6" t="s">
        <v>120</v>
      </c>
      <c r="L21" s="6" t="s">
        <v>214</v>
      </c>
      <c r="M21" s="6" t="s">
        <v>215</v>
      </c>
      <c r="N21" s="6" t="s">
        <v>325</v>
      </c>
      <c r="O21" s="6" t="s">
        <v>236</v>
      </c>
      <c r="P21" s="6" t="s">
        <v>326</v>
      </c>
      <c r="Q21" s="6" t="s">
        <v>327</v>
      </c>
      <c r="R21" s="6" t="s">
        <v>328</v>
      </c>
      <c r="S21" s="6" t="s">
        <v>220</v>
      </c>
      <c r="T21" s="6" t="s">
        <v>129</v>
      </c>
      <c r="U21" s="6" t="s">
        <v>130</v>
      </c>
      <c r="V21" s="6" t="s">
        <v>131</v>
      </c>
      <c r="W21" s="6" t="s">
        <v>132</v>
      </c>
      <c r="X21" s="6" t="s">
        <v>160</v>
      </c>
      <c r="Y21" s="6">
        <v>87</v>
      </c>
      <c r="Z21" s="6" t="s">
        <v>161</v>
      </c>
      <c r="AA21" s="6" t="s">
        <v>131</v>
      </c>
      <c r="AB21" s="7">
        <f t="shared" si="4"/>
        <v>256968</v>
      </c>
      <c r="AC21" s="8">
        <v>59760</v>
      </c>
      <c r="AD21" s="8">
        <f t="shared" si="5"/>
        <v>64500</v>
      </c>
      <c r="AE21" s="8">
        <v>15000</v>
      </c>
      <c r="AF21" s="8">
        <f t="shared" si="6"/>
        <v>27090</v>
      </c>
      <c r="AG21" s="8">
        <v>6300</v>
      </c>
      <c r="AH21" s="8">
        <f t="shared" si="7"/>
        <v>6450</v>
      </c>
      <c r="AI21" s="8">
        <v>1500</v>
      </c>
      <c r="AJ21" s="8">
        <f t="shared" si="8"/>
        <v>30960</v>
      </c>
      <c r="AK21" s="8">
        <v>7200</v>
      </c>
      <c r="AL21" s="8">
        <f t="shared" si="9"/>
        <v>8815</v>
      </c>
      <c r="AM21" s="8">
        <v>2050</v>
      </c>
      <c r="AN21" s="8">
        <f t="shared" si="10"/>
        <v>7508</v>
      </c>
      <c r="AO21" s="8">
        <v>1746</v>
      </c>
      <c r="AP21" s="8">
        <f t="shared" si="11"/>
        <v>10750</v>
      </c>
      <c r="AQ21" s="8">
        <v>2500</v>
      </c>
      <c r="AR21" s="7">
        <f t="shared" si="12"/>
        <v>413041</v>
      </c>
      <c r="AS21" s="7">
        <f t="shared" si="13"/>
        <v>96056</v>
      </c>
      <c r="AT21" s="9">
        <f t="shared" si="14"/>
        <v>41.304099999999998</v>
      </c>
      <c r="AU21" s="7">
        <f t="shared" si="15"/>
        <v>0</v>
      </c>
      <c r="AV21" s="8">
        <v>0</v>
      </c>
      <c r="AW21" s="6" t="s">
        <v>30</v>
      </c>
      <c r="AX21" s="6" t="s">
        <v>135</v>
      </c>
      <c r="AY21" s="6" t="s">
        <v>129</v>
      </c>
      <c r="AZ21" s="6" t="s">
        <v>135</v>
      </c>
      <c r="BA21" s="7">
        <f t="shared" si="16"/>
        <v>413041</v>
      </c>
      <c r="BB21" s="8">
        <f t="shared" si="17"/>
        <v>96056</v>
      </c>
      <c r="BC21" s="7">
        <f t="shared" si="18"/>
        <v>-13041</v>
      </c>
      <c r="BD21" s="6" t="str">
        <f t="shared" si="19"/>
        <v>临界预算</v>
      </c>
      <c r="BE21" s="6" t="s">
        <v>9</v>
      </c>
      <c r="BF21" s="43" t="s">
        <v>104</v>
      </c>
      <c r="BG21" s="43" t="s">
        <v>105</v>
      </c>
      <c r="BH21" s="43" t="s">
        <v>350</v>
      </c>
      <c r="BI21" s="43" t="s">
        <v>107</v>
      </c>
      <c r="BJ21" s="43" t="s">
        <v>351</v>
      </c>
      <c r="BK21" s="6" t="s">
        <v>329</v>
      </c>
      <c r="BL21" s="6" t="s">
        <v>138</v>
      </c>
      <c r="BM21" s="6" t="s">
        <v>330</v>
      </c>
      <c r="BN21" s="6">
        <f>IF($AA21="是",IF(COUNTIFS($B$17:$B21,$B21,$AA$17:$AA21,"是")=1,1,0),0)</f>
        <v>1</v>
      </c>
    </row>
    <row r="22" spans="1:66" ht="72" customHeight="1">
      <c r="A22" s="6" t="s">
        <v>273</v>
      </c>
      <c r="B22" s="6" t="s">
        <v>331</v>
      </c>
      <c r="C22" s="6" t="s">
        <v>332</v>
      </c>
      <c r="D22" s="6" t="s">
        <v>333</v>
      </c>
      <c r="E22" s="6" t="s">
        <v>277</v>
      </c>
      <c r="F22" s="6" t="s">
        <v>334</v>
      </c>
      <c r="G22" s="6" t="s">
        <v>26</v>
      </c>
      <c r="H22" s="6" t="s">
        <v>118</v>
      </c>
      <c r="I22" s="6" t="s">
        <v>324</v>
      </c>
      <c r="J22" s="6">
        <v>18</v>
      </c>
      <c r="K22" s="6" t="s">
        <v>120</v>
      </c>
      <c r="L22" s="6" t="s">
        <v>214</v>
      </c>
      <c r="M22" s="6" t="s">
        <v>335</v>
      </c>
      <c r="N22" s="6" t="s">
        <v>336</v>
      </c>
      <c r="O22" s="6" t="s">
        <v>236</v>
      </c>
      <c r="P22" s="6" t="s">
        <v>337</v>
      </c>
      <c r="Q22" s="6" t="s">
        <v>338</v>
      </c>
      <c r="R22" s="6" t="s">
        <v>339</v>
      </c>
      <c r="S22" s="6" t="s">
        <v>220</v>
      </c>
      <c r="T22" s="6" t="s">
        <v>129</v>
      </c>
      <c r="U22" s="6" t="s">
        <v>130</v>
      </c>
      <c r="V22" s="6" t="s">
        <v>131</v>
      </c>
      <c r="W22" s="6" t="s">
        <v>132</v>
      </c>
      <c r="X22" s="6" t="s">
        <v>160</v>
      </c>
      <c r="Y22" s="6">
        <v>86</v>
      </c>
      <c r="Z22" s="6" t="s">
        <v>161</v>
      </c>
      <c r="AA22" s="6" t="s">
        <v>131</v>
      </c>
      <c r="AB22" s="7">
        <f t="shared" si="4"/>
        <v>257494</v>
      </c>
      <c r="AC22" s="8">
        <v>59882.400000000001</v>
      </c>
      <c r="AD22" s="8">
        <f t="shared" si="5"/>
        <v>64500</v>
      </c>
      <c r="AE22" s="8">
        <v>15000</v>
      </c>
      <c r="AF22" s="8">
        <f t="shared" si="6"/>
        <v>27090</v>
      </c>
      <c r="AG22" s="8">
        <v>6300</v>
      </c>
      <c r="AH22" s="8">
        <f t="shared" si="7"/>
        <v>6450</v>
      </c>
      <c r="AI22" s="8">
        <v>1500</v>
      </c>
      <c r="AJ22" s="8">
        <f t="shared" si="8"/>
        <v>30960</v>
      </c>
      <c r="AK22" s="8">
        <v>7200</v>
      </c>
      <c r="AL22" s="8">
        <f t="shared" si="9"/>
        <v>8815</v>
      </c>
      <c r="AM22" s="8">
        <v>2050</v>
      </c>
      <c r="AN22" s="8">
        <f t="shared" si="10"/>
        <v>6450</v>
      </c>
      <c r="AO22" s="8">
        <v>1500</v>
      </c>
      <c r="AP22" s="8">
        <f t="shared" si="11"/>
        <v>10750</v>
      </c>
      <c r="AQ22" s="8">
        <v>2500</v>
      </c>
      <c r="AR22" s="7">
        <f t="shared" si="12"/>
        <v>412509</v>
      </c>
      <c r="AS22" s="7">
        <f t="shared" si="13"/>
        <v>95932.4</v>
      </c>
      <c r="AT22" s="9">
        <f t="shared" si="14"/>
        <v>41.250900000000001</v>
      </c>
      <c r="AU22" s="7">
        <f t="shared" si="15"/>
        <v>0</v>
      </c>
      <c r="AV22" s="8">
        <v>0</v>
      </c>
      <c r="AW22" s="6" t="s">
        <v>30</v>
      </c>
      <c r="AX22" s="6" t="s">
        <v>135</v>
      </c>
      <c r="AY22" s="6" t="s">
        <v>129</v>
      </c>
      <c r="AZ22" s="6" t="s">
        <v>135</v>
      </c>
      <c r="BA22" s="7">
        <f t="shared" si="16"/>
        <v>412509</v>
      </c>
      <c r="BB22" s="8">
        <f t="shared" si="17"/>
        <v>95932.4</v>
      </c>
      <c r="BC22" s="7">
        <f t="shared" si="18"/>
        <v>-12509</v>
      </c>
      <c r="BD22" s="6" t="str">
        <f t="shared" si="19"/>
        <v>临界预算</v>
      </c>
      <c r="BE22" s="6" t="s">
        <v>9</v>
      </c>
      <c r="BF22" s="43" t="s">
        <v>104</v>
      </c>
      <c r="BG22" s="43" t="s">
        <v>105</v>
      </c>
      <c r="BH22" s="43" t="s">
        <v>350</v>
      </c>
      <c r="BI22" s="43" t="s">
        <v>107</v>
      </c>
      <c r="BJ22" s="43" t="s">
        <v>351</v>
      </c>
      <c r="BK22" s="6" t="s">
        <v>340</v>
      </c>
      <c r="BL22" s="6" t="s">
        <v>138</v>
      </c>
      <c r="BM22" s="6" t="s">
        <v>341</v>
      </c>
      <c r="BN22" s="6">
        <f>IF($AA22="是",IF(COUNTIFS($B$17:$B22,$B22,$AA$17:$AA22,"是")=1,1,0),0)</f>
        <v>1</v>
      </c>
    </row>
    <row r="23" spans="1:66" ht="72" customHeight="1">
      <c r="A23" s="6" t="s">
        <v>273</v>
      </c>
      <c r="B23" s="6" t="s">
        <v>342</v>
      </c>
      <c r="C23" s="6" t="s">
        <v>333</v>
      </c>
      <c r="D23" s="6" t="s">
        <v>333</v>
      </c>
      <c r="E23" s="6" t="s">
        <v>277</v>
      </c>
      <c r="F23" s="6" t="s">
        <v>278</v>
      </c>
      <c r="G23" s="6" t="s">
        <v>26</v>
      </c>
      <c r="H23" s="6" t="s">
        <v>118</v>
      </c>
      <c r="I23" s="6" t="s">
        <v>324</v>
      </c>
      <c r="J23" s="6">
        <v>15</v>
      </c>
      <c r="K23" s="6" t="s">
        <v>120</v>
      </c>
      <c r="L23" s="6" t="s">
        <v>214</v>
      </c>
      <c r="M23" s="6" t="s">
        <v>343</v>
      </c>
      <c r="N23" s="6" t="s">
        <v>344</v>
      </c>
      <c r="O23" s="6" t="s">
        <v>236</v>
      </c>
      <c r="P23" s="6" t="s">
        <v>345</v>
      </c>
      <c r="Q23" s="6" t="s">
        <v>346</v>
      </c>
      <c r="R23" s="6" t="s">
        <v>347</v>
      </c>
      <c r="S23" s="6" t="s">
        <v>220</v>
      </c>
      <c r="T23" s="6" t="s">
        <v>129</v>
      </c>
      <c r="U23" s="6" t="s">
        <v>130</v>
      </c>
      <c r="V23" s="6" t="s">
        <v>131</v>
      </c>
      <c r="W23" s="6" t="s">
        <v>132</v>
      </c>
      <c r="X23" s="6" t="s">
        <v>180</v>
      </c>
      <c r="Y23" s="6">
        <v>84</v>
      </c>
      <c r="Z23" s="6" t="s">
        <v>181</v>
      </c>
      <c r="AA23" s="6" t="s">
        <v>131</v>
      </c>
      <c r="AB23" s="7">
        <f t="shared" si="4"/>
        <v>329909</v>
      </c>
      <c r="AC23" s="8">
        <v>76722.98</v>
      </c>
      <c r="AD23" s="8">
        <f t="shared" si="5"/>
        <v>53750</v>
      </c>
      <c r="AE23" s="8">
        <v>12500</v>
      </c>
      <c r="AF23" s="8">
        <f t="shared" si="6"/>
        <v>22575</v>
      </c>
      <c r="AG23" s="8">
        <v>5250</v>
      </c>
      <c r="AH23" s="8">
        <f t="shared" si="7"/>
        <v>5375</v>
      </c>
      <c r="AI23" s="8">
        <v>1250</v>
      </c>
      <c r="AJ23" s="8">
        <f t="shared" si="8"/>
        <v>25800</v>
      </c>
      <c r="AK23" s="8">
        <v>6000</v>
      </c>
      <c r="AL23" s="8">
        <f t="shared" si="9"/>
        <v>7955</v>
      </c>
      <c r="AM23" s="8">
        <v>1850</v>
      </c>
      <c r="AN23" s="8">
        <f t="shared" si="10"/>
        <v>7307</v>
      </c>
      <c r="AO23" s="8">
        <v>1699.2</v>
      </c>
      <c r="AP23" s="8">
        <f t="shared" si="11"/>
        <v>10750</v>
      </c>
      <c r="AQ23" s="8">
        <v>2500</v>
      </c>
      <c r="AR23" s="7">
        <f t="shared" si="12"/>
        <v>463421</v>
      </c>
      <c r="AS23" s="7">
        <f t="shared" si="13"/>
        <v>107772.18</v>
      </c>
      <c r="AT23" s="9">
        <f t="shared" si="14"/>
        <v>46.342100000000002</v>
      </c>
      <c r="AU23" s="7">
        <f t="shared" si="15"/>
        <v>103200</v>
      </c>
      <c r="AV23" s="8">
        <v>24000</v>
      </c>
      <c r="AW23" s="6" t="s">
        <v>24</v>
      </c>
      <c r="AX23" s="6" t="s">
        <v>131</v>
      </c>
      <c r="AY23" s="6" t="s">
        <v>129</v>
      </c>
      <c r="AZ23" s="6" t="s">
        <v>134</v>
      </c>
      <c r="BA23" s="7">
        <f t="shared" si="16"/>
        <v>360221</v>
      </c>
      <c r="BB23" s="8">
        <f t="shared" si="17"/>
        <v>83772.179999999993</v>
      </c>
      <c r="BC23" s="7">
        <f t="shared" si="18"/>
        <v>39779</v>
      </c>
      <c r="BD23" s="6" t="str">
        <f t="shared" si="19"/>
        <v>超预算</v>
      </c>
      <c r="BE23" s="6" t="s">
        <v>9</v>
      </c>
      <c r="BF23" s="43" t="s">
        <v>104</v>
      </c>
      <c r="BG23" s="43" t="s">
        <v>105</v>
      </c>
      <c r="BH23" s="43" t="s">
        <v>350</v>
      </c>
      <c r="BI23" s="43" t="s">
        <v>107</v>
      </c>
      <c r="BJ23" s="43" t="s">
        <v>351</v>
      </c>
      <c r="BK23" s="6" t="s">
        <v>348</v>
      </c>
      <c r="BL23" s="6" t="s">
        <v>138</v>
      </c>
      <c r="BM23" s="6" t="s">
        <v>349</v>
      </c>
      <c r="BN23" s="6">
        <f>IF($AA23="是",IF(COUNTIFS($B$17:$B23,$B23,$AA$17:$AA23,"是")=1,1,0),0)</f>
        <v>1</v>
      </c>
    </row>
  </sheetData>
  <mergeCells count="30">
    <mergeCell ref="G13:H13"/>
    <mergeCell ref="G14:H14"/>
    <mergeCell ref="I13:J13"/>
    <mergeCell ref="I14:J14"/>
    <mergeCell ref="K13:L13"/>
    <mergeCell ref="K14:L14"/>
    <mergeCell ref="A13:B13"/>
    <mergeCell ref="A14:B14"/>
    <mergeCell ref="C13:D13"/>
    <mergeCell ref="C14:D14"/>
    <mergeCell ref="E13:F13"/>
    <mergeCell ref="E14:F14"/>
    <mergeCell ref="A8:M8"/>
    <mergeCell ref="A10:B10"/>
    <mergeCell ref="A11:B11"/>
    <mergeCell ref="C10:D10"/>
    <mergeCell ref="C11:D11"/>
    <mergeCell ref="E10:F10"/>
    <mergeCell ref="E11:F11"/>
    <mergeCell ref="G10:H10"/>
    <mergeCell ref="G11:H11"/>
    <mergeCell ref="I10:J10"/>
    <mergeCell ref="I11:J11"/>
    <mergeCell ref="K10:L10"/>
    <mergeCell ref="K11:L11"/>
    <mergeCell ref="A1:M1"/>
    <mergeCell ref="E3:M3"/>
    <mergeCell ref="A5:M5"/>
    <mergeCell ref="A6:M6"/>
    <mergeCell ref="A7:M7"/>
  </mergeCells>
  <phoneticPr fontId="20" type="noConversion"/>
  <conditionalFormatting sqref="I17:I23">
    <cfRule type="containsText" dxfId="9" priority="4" operator="containsText" text="1.5年"/>
    <cfRule type="containsText" dxfId="8" priority="5" operator="containsText" text="2年"/>
  </conditionalFormatting>
  <conditionalFormatting sqref="Z17:Z23">
    <cfRule type="containsText" dxfId="7" priority="6" operator="containsText" text="高"/>
    <cfRule type="containsText" dxfId="6" priority="7" operator="containsText" text="低"/>
  </conditionalFormatting>
  <conditionalFormatting sqref="AR17:AR23">
    <cfRule type="cellIs" dxfId="5" priority="1" operator="lessThanOrEqual">
      <formula>400000</formula>
    </cfRule>
    <cfRule type="cellIs" dxfId="4" priority="2" operator="between">
      <formula>400001</formula>
      <formula>440000</formula>
    </cfRule>
    <cfRule type="cellIs" dxfId="3" priority="3" operator="greaterThan">
      <formula>440000</formula>
    </cfRule>
  </conditionalFormatting>
  <conditionalFormatting sqref="AW17:AW23">
    <cfRule type="containsText" dxfId="2" priority="8" operator="containsText" text="自动"/>
    <cfRule type="containsText" dxfId="1" priority="9" operator="containsText" text="单独"/>
    <cfRule type="containsText" dxfId="0" priority="10" operator="containsText" text="待确认"/>
  </conditionalFormatting>
  <dataValidations count="14">
    <dataValidation type="list" sqref="A17:A23" xr:uid="{00000000-0002-0000-0300-000000000000}">
      <formula1>"香港,澳门,英国,新西兰"</formula1>
    </dataValidation>
    <dataValidation type="list" sqref="G17:G23" xr:uid="{00000000-0002-0000-0300-000001000000}">
      <formula1>"经济学,应用经济学,金融学,金融与经济,商业分析,管理学,公共政策,国际政治经济,商法,知识产权法,其他"</formula1>
    </dataValidation>
    <dataValidation type="list" sqref="I17:I23" xr:uid="{00000000-0002-0000-0300-000002000000}">
      <formula1>"1年,1.5年,2年及以上（排除）"</formula1>
    </dataValidation>
    <dataValidation type="list" sqref="T17:T23" xr:uid="{00000000-0002-0000-0300-000003000000}">
      <formula1>"是,否,待确认,是（CET-6≥490）"</formula1>
    </dataValidation>
    <dataValidation type="list" sqref="U17:U23" xr:uid="{00000000-0002-0000-0300-000004000000}">
      <formula1>"不要求,不要求；GMAT/GRE建议提交,不要求（GMAT Verbal可作英语证明）,待确认"</formula1>
    </dataValidation>
    <dataValidation type="list" sqref="V17:V23 AX17:AX23" xr:uid="{00000000-0002-0000-0300-000005000000}">
      <formula1>"是,否,待确认"</formula1>
    </dataValidation>
    <dataValidation type="list" sqref="W17:W23" xr:uid="{00000000-0002-0000-0300-000006000000}">
      <formula1>"是,否,不适用,待确认"</formula1>
    </dataValidation>
    <dataValidation type="list" sqref="X17:X23" xr:uid="{00000000-0002-0000-0300-000007000000}">
      <formula1>"冲刺,匹配,相对稳妥"</formula1>
    </dataValidation>
    <dataValidation type="list" sqref="Z17:Z23" xr:uid="{00000000-0002-0000-0300-000008000000}">
      <formula1>"高,中,低,不建议"</formula1>
    </dataValidation>
    <dataValidation type="list" sqref="AA17:AA23 AY17:AY23" xr:uid="{00000000-0002-0000-0300-000009000000}">
      <formula1>"是,否"</formula1>
    </dataValidation>
    <dataValidation type="list" sqref="AW17:AW23" xr:uid="{00000000-0002-0000-0300-00000A000000}">
      <formula1>"自动随录取审核,需要单独申请,没有明确奖学金,奖学金信息待确认"</formula1>
    </dataValidation>
    <dataValidation type="list" sqref="AZ17:AZ23" xr:uid="{00000000-0002-0000-0300-00000D000000}">
      <formula1>"高,中,低,待确认"</formula1>
    </dataValidation>
    <dataValidation type="list" sqref="BD17:BD23" xr:uid="{00000000-0002-0000-0300-00000E000000}">
      <formula1>"预算内,临界预算,超预算,排除"</formula1>
    </dataValidation>
    <dataValidation type="list" sqref="BL17:BL23" xr:uid="{00000000-0002-0000-0300-00000F000000}">
      <formula1>"无需复核,需在申请前复核2027学费与截止日期,结论已核验；如接受2年制，可另开澳门专项清单"</formula1>
    </dataValidation>
  </dataValidations>
  <hyperlinks>
    <hyperlink ref="BF17" r:id="rId1" tooltip="官方来源：https://www.waikato.ac.nz/int/study/qualifications/master-of-applied-finance/" xr:uid="{A579F674-0BD5-4BEA-9B02-7320E1454C1F}"/>
    <hyperlink ref="BG17" r:id="rId2" tooltip="官方来源：https://www.waikato.ac.nz/int/study/fees-costs/international-tuition-costs/" xr:uid="{9928F50A-8B7D-49A2-9A06-D1AB56F925CF}"/>
    <hyperlink ref="BH17" r:id="rId3" tooltip="官方来源：https://www.waikato.ac.nz/int/study/qualifications/master-of-applied-finance/" xr:uid="{05988015-F188-4CAE-9ABC-5E22C1F87380}"/>
    <hyperlink ref="BI17" r:id="rId4" tooltip="官方来源：https://www.waikato.ac.nz/int/study/scholarships/find-a-scholarship/vice-chancellors-international-excellence-scholarship-for-china/" xr:uid="{68B1C34E-3336-4431-9353-52091E88BAF4}"/>
    <hyperlink ref="BJ17" r:id="rId5" tooltip="官方来源：https://www.immigration.govt.nz/visas/fee-paying-student-visa/" xr:uid="{415C29FB-2740-4AA0-BC9C-453234D35F26}"/>
    <hyperlink ref="BF18" r:id="rId6" tooltip="官方来源：https://www.canterbury.ac.nz/study/academic-study/qualifications/master-of-applied-finance-and-economics" xr:uid="{55C401A8-A701-4796-A982-3330B36C6216}"/>
    <hyperlink ref="BG18" r:id="rId7" tooltip="官方来源：https://www.canterbury.ac.nz/study/getting-started/study-and-living-costs/study-costs/international-tuition-fees" xr:uid="{B7CE8477-84CF-4433-B54A-3E0F669D5EF2}"/>
    <hyperlink ref="BH18" r:id="rId8" tooltip="官方来源：https://www.canterbury.ac.nz/study/academic-study/qualifications/master-of-applied-finance-and-economics" xr:uid="{8F464490-F9A5-449D-8692-12CC5F46989C}"/>
    <hyperlink ref="BI18" r:id="rId9" tooltip="官方来源：https://www.canterbury.ac.nz/study/academic-study/business/international-students-at-uc-business/postgraduate-business-degrees-for-international-students" xr:uid="{EA6D3429-8155-4F4D-A8E6-6E3975E7884D}"/>
    <hyperlink ref="BJ18" r:id="rId10" tooltip="官方来源：https://www.immigration.govt.nz/visas/fee-paying-student-visa/" xr:uid="{23276E73-073E-47FE-9F85-61AF9C4D4BA0}"/>
    <hyperlink ref="BF19" r:id="rId11" tooltip="官方来源：https://www.otago.ac.nz/study/qualifications/master-of-business?subject=575964" xr:uid="{CC458F98-66C9-4908-B2BD-F45E09647ECB}"/>
    <hyperlink ref="BG19" r:id="rId12" tooltip="官方来源：https://www.otago.ac.nz/study/fees/international-tuition-fees/business-school" xr:uid="{39BA4D17-725B-4943-8073-B512D0781337}"/>
    <hyperlink ref="BH19" r:id="rId13" tooltip="官方来源：https://www.otago.ac.nz/study/qualifications/master-of-business?subject=575964" xr:uid="{5696605E-1926-4F79-B03C-484B40BFC111}"/>
    <hyperlink ref="BI19" r:id="rId14" tooltip="官方来源：https://www.otago.ac.nz/international/future-students/scholarships" xr:uid="{A69BA6F3-1DDE-4DF1-B4AC-63F6F11614B3}"/>
    <hyperlink ref="BJ19" r:id="rId15" tooltip="官方来源：https://www.immigration.govt.nz/visas/fee-paying-student-visa/" xr:uid="{AE78B61F-0DAE-4416-955F-A82B740B6BE7}"/>
    <hyperlink ref="BF20" r:id="rId16" tooltip="官方来源：https://www.lincoln.ac.nz/study/study-programmes/programme-search/master-of-business-finance/" xr:uid="{2FAF63CC-C0B8-4AD1-A43F-1DC959CBF6FC}"/>
    <hyperlink ref="BG20" r:id="rId17" tooltip="官方来源：https://www.lincoln.ac.nz/study/study-programmes/programme-search/master-of-business-finance/" xr:uid="{49BB96DF-A047-4736-8945-91E92D65185F}"/>
    <hyperlink ref="BH20" r:id="rId18" tooltip="官方来源：https://www.lincoln.ac.nz/study/study-programmes/programme-search/master-of-business-finance/" xr:uid="{B130F60A-B1F5-40D6-A4EB-59421803A539}"/>
    <hyperlink ref="BJ20" r:id="rId19" tooltip="官方来源：https://www.immigration.govt.nz/visas/fee-paying-student-visa/" xr:uid="{9A75F100-1F4C-43E9-BF4C-C36E22208415}"/>
    <hyperlink ref="BF21" r:id="rId20" tooltip="官方来源：https://www.massey.ac.nz/study/all-qualifications-and-degrees/master-of-finance-PMFNN/" xr:uid="{9D7F525D-D965-42D1-9B2F-C805E498995E}"/>
    <hyperlink ref="BG21" r:id="rId21" tooltip="官方来源：https://www.massey.ac.nz/study/fees-and-funding/tuition-fees-for-international-students/" xr:uid="{E6EBF426-2AC4-4A8D-A3EF-EFCEF1FF9296}"/>
    <hyperlink ref="BH21" r:id="rId22" tooltip="官方来源：https://www.massey.ac.nz/study/all-qualifications-and-degrees/master-of-finance-PMFNN/" xr:uid="{43B2E745-1CBC-4DA0-8BEA-1EAF9021333E}"/>
    <hyperlink ref="BI21" r:id="rId23" tooltip="官方来源：https://www.massey.ac.nz/study/scholarships-and-awards/" xr:uid="{A35C0BB0-3E87-404D-BEE6-9D9DE39BF7EB}"/>
    <hyperlink ref="BJ21" r:id="rId24" tooltip="官方来源：https://www.immigration.govt.nz/visas/fee-paying-student-visa/" xr:uid="{4CC813F8-99EC-46F1-B7A8-FFE38023869E}"/>
    <hyperlink ref="BF22" r:id="rId25" tooltip="官方来源：https://www.aut.ac.nz/study/study-options/business/courses/master-of-applied-finance" xr:uid="{415E7202-35A7-4BC6-B738-D9D76B307C71}"/>
    <hyperlink ref="BG22" r:id="rId26" tooltip="官方来源：https://www.aut.ac.nz/study/study-options/business/courses/master-of-applied-finance" xr:uid="{604B5AED-E9D6-412B-AB6C-4589ED10FB71}"/>
    <hyperlink ref="BH22" r:id="rId27" tooltip="官方来源：https://arion.aut.ac.nz/arionmain/courseinfo/Information/Qualifications/Details/QualDetails.aspx?id=1711" xr:uid="{04DA0722-F49E-41BA-BEFE-2E5420172D51}"/>
    <hyperlink ref="BI22" r:id="rId28" tooltip="官方来源：https://www.aut.ac.nz/study/fees-and-scholarships/scholarships-and-awards-at-aut" xr:uid="{571843C2-635E-46AB-80E9-5C5B5837058D}"/>
    <hyperlink ref="BJ22" r:id="rId29" tooltip="官方来源：https://www.immigration.govt.nz/visas/fee-paying-student-visa/" xr:uid="{F7B2C87F-BF29-4461-8EA6-0585D31D3F16}"/>
    <hyperlink ref="BF23" r:id="rId30" tooltip="官方来源：https://www.auckland.ac.nz/en/study/study-options/find-a-study-option/master-of-applied-finance.html" xr:uid="{66DEC524-FB36-4EBC-B9C5-F945FFEB2BE5}"/>
    <hyperlink ref="BG23" r:id="rId31" tooltip="官方来源：https://www.auckland.ac.nz/en/study/study-options/find-a-study-option/master-of-applied-finance.html" xr:uid="{606293F5-32F0-478B-894D-F04A46A874F6}"/>
    <hyperlink ref="BH23" r:id="rId32" tooltip="官方来源：https://www.auckland.ac.nz/en/study/study-options/find-a-study-option/master-of-applied-finance.html" xr:uid="{B353D609-B9FC-42A3-992B-F7DE44E228B0}"/>
    <hyperlink ref="BI23" r:id="rId33" tooltip="官方来源：https://www.auckland.ac.nz/en/study/scholarships-and-awards/find-a-scholarship/university-of-auckland-international-business-masters-scholarship-704-bande.html?hl=en-US" xr:uid="{F16B17F3-BFB7-4F1B-A623-FAB17CC20F62}"/>
    <hyperlink ref="BJ23" r:id="rId34" tooltip="官方来源：https://www.immigration.govt.nz/visas/fee-paying-student-visa/" xr:uid="{4AB34EB9-0845-4537-8773-D6468C649EFE}"/>
  </hyperlinks>
  <pageMargins left="0.7" right="0.7" top="0.75" bottom="0.75" header="0.3" footer="0.3"/>
  <drawing r:id="rId35"/>
  <tableParts count="1"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香港</vt:lpstr>
      <vt:lpstr>澳门</vt:lpstr>
      <vt:lpstr>英国</vt:lpstr>
      <vt:lpstr>新西兰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Xuyang Du</cp:lastModifiedBy>
  <dcterms:modified xsi:type="dcterms:W3CDTF">2026-07-18T04:04:22Z</dcterms:modified>
</cp:coreProperties>
</file>